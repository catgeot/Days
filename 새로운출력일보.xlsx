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437DF68BAFB4C8/문서/"/>
    </mc:Choice>
  </mc:AlternateContent>
  <xr:revisionPtr revIDLastSave="203" documentId="8_{8FC7B8BF-B29D-476B-B381-71B672E9FA18}" xr6:coauthVersionLast="47" xr6:coauthVersionMax="47" xr10:uidLastSave="{0E1409FA-6435-4B9C-8DB1-B658FFD664CA}"/>
  <bookViews>
    <workbookView xWindow="-103" yWindow="-103" windowWidth="22149" windowHeight="13200" tabRatio="807" firstSheet="2" activeTab="8" xr2:uid="{B32758A8-F629-4D26-984F-1E2594997D1E}"/>
  </bookViews>
  <sheets>
    <sheet name="만두건설" sheetId="1" r:id="rId1"/>
    <sheet name="만두토목" sheetId="3" r:id="rId2"/>
    <sheet name="홍천서석" sheetId="4" r:id="rId3"/>
    <sheet name="사창리" sheetId="5" r:id="rId4"/>
    <sheet name="대원건설" sheetId="6" r:id="rId5"/>
    <sheet name="정윤일" sheetId="7" r:id="rId6"/>
    <sheet name="비고1" sheetId="8" r:id="rId7"/>
    <sheet name="비고2" sheetId="9" r:id="rId8"/>
    <sheet name="출력관리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 a="1"/>
  <c r="G5" i="10" s="1"/>
  <c r="K1" i="10"/>
  <c r="G5" i="9" a="1"/>
  <c r="G5" i="9" s="1"/>
  <c r="K1" i="9"/>
  <c r="G5" i="8" a="1"/>
  <c r="G5" i="8" s="1"/>
  <c r="K1" i="8"/>
  <c r="G5" i="7" a="1"/>
  <c r="G5" i="7" s="1"/>
  <c r="K1" i="7"/>
  <c r="G5" i="6" a="1"/>
  <c r="G5" i="6" s="1"/>
  <c r="K1" i="6"/>
  <c r="G5" i="5" a="1"/>
  <c r="G5" i="5" s="1"/>
  <c r="K1" i="5"/>
  <c r="G5" i="4" a="1"/>
  <c r="G5" i="4" s="1"/>
  <c r="K1" i="4"/>
  <c r="G5" i="3" a="1"/>
  <c r="G5" i="3" s="1"/>
  <c r="K1" i="3"/>
  <c r="G5" i="1" a="1"/>
  <c r="K1" i="1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G6" i="10"/>
  <c r="O31" i="3"/>
  <c r="P31" i="3"/>
  <c r="Q31" i="3"/>
  <c r="R31" i="3"/>
  <c r="AN30" i="3"/>
  <c r="AN29" i="3"/>
  <c r="AN28" i="3"/>
  <c r="AN26" i="3"/>
  <c r="AN23" i="3"/>
  <c r="AL22" i="3"/>
  <c r="AR22" i="10" s="1"/>
  <c r="AL21" i="3"/>
  <c r="AR21" i="10" s="1"/>
  <c r="AN20" i="3"/>
  <c r="AN17" i="3"/>
  <c r="AN16" i="3"/>
  <c r="AN12" i="3"/>
  <c r="AL11" i="3"/>
  <c r="AR11" i="10" s="1"/>
  <c r="AN10" i="3"/>
  <c r="AN9" i="3"/>
  <c r="AN27" i="3"/>
  <c r="AN24" i="3"/>
  <c r="AN22" i="3"/>
  <c r="AN19" i="3"/>
  <c r="AN15" i="3"/>
  <c r="AN18" i="3"/>
  <c r="AN14" i="3"/>
  <c r="AN30" i="9"/>
  <c r="AL30" i="9"/>
  <c r="BD30" i="10" s="1"/>
  <c r="AN29" i="9"/>
  <c r="AL29" i="9"/>
  <c r="BD29" i="10" s="1"/>
  <c r="AN28" i="9"/>
  <c r="AL28" i="9"/>
  <c r="BD28" i="10" s="1"/>
  <c r="AN27" i="9"/>
  <c r="AL27" i="9"/>
  <c r="BD27" i="10" s="1"/>
  <c r="AN26" i="9"/>
  <c r="AL26" i="9"/>
  <c r="BD26" i="10" s="1"/>
  <c r="AN25" i="9"/>
  <c r="AL25" i="9"/>
  <c r="BD25" i="10" s="1"/>
  <c r="AN24" i="9"/>
  <c r="AL24" i="9"/>
  <c r="BD24" i="10" s="1"/>
  <c r="AN23" i="9"/>
  <c r="AL23" i="9"/>
  <c r="BD23" i="10" s="1"/>
  <c r="AN22" i="9"/>
  <c r="AL22" i="9"/>
  <c r="BD22" i="10" s="1"/>
  <c r="AN21" i="9"/>
  <c r="AL21" i="9"/>
  <c r="BD21" i="10" s="1"/>
  <c r="AN20" i="9"/>
  <c r="AL20" i="9"/>
  <c r="BD20" i="10" s="1"/>
  <c r="AN19" i="9"/>
  <c r="AL19" i="9"/>
  <c r="BD19" i="10" s="1"/>
  <c r="AN18" i="9"/>
  <c r="AL18" i="9"/>
  <c r="BD18" i="10" s="1"/>
  <c r="AN17" i="9"/>
  <c r="AL17" i="9"/>
  <c r="BD17" i="10" s="1"/>
  <c r="AN16" i="9"/>
  <c r="AL16" i="9"/>
  <c r="BD16" i="10" s="1"/>
  <c r="AN15" i="9"/>
  <c r="AL15" i="9"/>
  <c r="BD15" i="10" s="1"/>
  <c r="AN14" i="9"/>
  <c r="AL14" i="9"/>
  <c r="BD14" i="10" s="1"/>
  <c r="AN13" i="9"/>
  <c r="AL13" i="9"/>
  <c r="BD13" i="10" s="1"/>
  <c r="AN12" i="9"/>
  <c r="AL12" i="9"/>
  <c r="BD12" i="10" s="1"/>
  <c r="AN11" i="9"/>
  <c r="AL11" i="9"/>
  <c r="BD11" i="10" s="1"/>
  <c r="AN10" i="9"/>
  <c r="AL10" i="9"/>
  <c r="BD10" i="10" s="1"/>
  <c r="AN9" i="9"/>
  <c r="AL9" i="9"/>
  <c r="BD9" i="10" s="1"/>
  <c r="AN8" i="9"/>
  <c r="AL8" i="9"/>
  <c r="BD8" i="10" s="1"/>
  <c r="AN7" i="9"/>
  <c r="AL7" i="9"/>
  <c r="BD7" i="10" s="1"/>
  <c r="AN6" i="9"/>
  <c r="AL6" i="9"/>
  <c r="BD6" i="10" s="1"/>
  <c r="AN30" i="8"/>
  <c r="AL30" i="8"/>
  <c r="BB30" i="10" s="1"/>
  <c r="AN29" i="8"/>
  <c r="AL29" i="8"/>
  <c r="BB29" i="10" s="1"/>
  <c r="AN28" i="8"/>
  <c r="AL28" i="8"/>
  <c r="BB28" i="10" s="1"/>
  <c r="AN27" i="8"/>
  <c r="AL27" i="8"/>
  <c r="BB27" i="10" s="1"/>
  <c r="AN26" i="8"/>
  <c r="AL26" i="8"/>
  <c r="BB26" i="10" s="1"/>
  <c r="AN25" i="8"/>
  <c r="AL25" i="8"/>
  <c r="BB25" i="10" s="1"/>
  <c r="AN24" i="8"/>
  <c r="AL24" i="8"/>
  <c r="BB24" i="10" s="1"/>
  <c r="AN23" i="8"/>
  <c r="AL23" i="8"/>
  <c r="BB23" i="10" s="1"/>
  <c r="AN22" i="8"/>
  <c r="AL22" i="8"/>
  <c r="BB22" i="10" s="1"/>
  <c r="AN21" i="8"/>
  <c r="AL21" i="8"/>
  <c r="BB21" i="10" s="1"/>
  <c r="AN20" i="8"/>
  <c r="AL20" i="8"/>
  <c r="BB20" i="10" s="1"/>
  <c r="AN19" i="8"/>
  <c r="AL19" i="8"/>
  <c r="BB19" i="10" s="1"/>
  <c r="AN18" i="8"/>
  <c r="AL18" i="8"/>
  <c r="BB18" i="10" s="1"/>
  <c r="AN17" i="8"/>
  <c r="AL17" i="8"/>
  <c r="BB17" i="10" s="1"/>
  <c r="AN16" i="8"/>
  <c r="AL16" i="8"/>
  <c r="BB16" i="10" s="1"/>
  <c r="AN15" i="8"/>
  <c r="AL15" i="8"/>
  <c r="BB15" i="10" s="1"/>
  <c r="AN14" i="8"/>
  <c r="AL14" i="8"/>
  <c r="BB14" i="10" s="1"/>
  <c r="AN13" i="8"/>
  <c r="AL13" i="8"/>
  <c r="BB13" i="10" s="1"/>
  <c r="AN12" i="8"/>
  <c r="AL12" i="8"/>
  <c r="BB12" i="10" s="1"/>
  <c r="AN11" i="8"/>
  <c r="AL11" i="8"/>
  <c r="BB11" i="10" s="1"/>
  <c r="AN10" i="8"/>
  <c r="AL10" i="8"/>
  <c r="BB10" i="10" s="1"/>
  <c r="AN9" i="8"/>
  <c r="AL9" i="8"/>
  <c r="BB9" i="10" s="1"/>
  <c r="AN8" i="8"/>
  <c r="AL8" i="8"/>
  <c r="BB8" i="10" s="1"/>
  <c r="AN7" i="8"/>
  <c r="AL7" i="8"/>
  <c r="BB7" i="10" s="1"/>
  <c r="AN6" i="8"/>
  <c r="AL6" i="8"/>
  <c r="BB6" i="10" s="1"/>
  <c r="AN30" i="7"/>
  <c r="AL30" i="7"/>
  <c r="AZ30" i="10" s="1"/>
  <c r="AN29" i="7"/>
  <c r="AL29" i="7"/>
  <c r="AZ29" i="10" s="1"/>
  <c r="AN28" i="7"/>
  <c r="AL28" i="7"/>
  <c r="AZ28" i="10" s="1"/>
  <c r="AN27" i="7"/>
  <c r="AL27" i="7"/>
  <c r="AZ27" i="10" s="1"/>
  <c r="AN26" i="7"/>
  <c r="AL26" i="7"/>
  <c r="AZ26" i="10" s="1"/>
  <c r="AN25" i="7"/>
  <c r="AL25" i="7"/>
  <c r="AZ25" i="10" s="1"/>
  <c r="AN24" i="7"/>
  <c r="AL24" i="7"/>
  <c r="AZ24" i="10" s="1"/>
  <c r="AN23" i="7"/>
  <c r="AL23" i="7"/>
  <c r="AZ23" i="10" s="1"/>
  <c r="AN22" i="7"/>
  <c r="AL22" i="7"/>
  <c r="AZ22" i="10" s="1"/>
  <c r="AN21" i="7"/>
  <c r="AL21" i="7"/>
  <c r="AZ21" i="10" s="1"/>
  <c r="AN20" i="7"/>
  <c r="AL20" i="7"/>
  <c r="AZ20" i="10" s="1"/>
  <c r="AN19" i="7"/>
  <c r="AL19" i="7"/>
  <c r="AZ19" i="10" s="1"/>
  <c r="AN18" i="7"/>
  <c r="AL18" i="7"/>
  <c r="AZ18" i="10" s="1"/>
  <c r="AN17" i="7"/>
  <c r="AL17" i="7"/>
  <c r="AZ17" i="10" s="1"/>
  <c r="AN16" i="7"/>
  <c r="AL16" i="7"/>
  <c r="AZ16" i="10" s="1"/>
  <c r="AN15" i="7"/>
  <c r="AL15" i="7"/>
  <c r="AZ15" i="10" s="1"/>
  <c r="AN14" i="7"/>
  <c r="AL14" i="7"/>
  <c r="AZ14" i="10" s="1"/>
  <c r="AN13" i="7"/>
  <c r="AL13" i="7"/>
  <c r="AZ13" i="10" s="1"/>
  <c r="AN12" i="7"/>
  <c r="AL12" i="7"/>
  <c r="AZ12" i="10" s="1"/>
  <c r="AN11" i="7"/>
  <c r="AL11" i="7"/>
  <c r="AZ11" i="10" s="1"/>
  <c r="AN10" i="7"/>
  <c r="AL10" i="7"/>
  <c r="AZ10" i="10" s="1"/>
  <c r="AN9" i="7"/>
  <c r="AL9" i="7"/>
  <c r="AZ9" i="10" s="1"/>
  <c r="AN8" i="7"/>
  <c r="AL8" i="7"/>
  <c r="AZ8" i="10" s="1"/>
  <c r="AN7" i="7"/>
  <c r="AL7" i="7"/>
  <c r="AZ7" i="10" s="1"/>
  <c r="AN6" i="7"/>
  <c r="AL6" i="7"/>
  <c r="AZ6" i="10" s="1"/>
  <c r="AN30" i="6"/>
  <c r="AL30" i="6"/>
  <c r="AX30" i="10" s="1"/>
  <c r="AN29" i="6"/>
  <c r="AL29" i="6"/>
  <c r="AX29" i="10" s="1"/>
  <c r="AN28" i="6"/>
  <c r="AL28" i="6"/>
  <c r="AX28" i="10" s="1"/>
  <c r="AN27" i="6"/>
  <c r="AL27" i="6"/>
  <c r="AX27" i="10" s="1"/>
  <c r="AN26" i="6"/>
  <c r="AL26" i="6"/>
  <c r="AX26" i="10" s="1"/>
  <c r="AN25" i="6"/>
  <c r="AL25" i="6"/>
  <c r="AX25" i="10" s="1"/>
  <c r="AN24" i="6"/>
  <c r="AL24" i="6"/>
  <c r="AX24" i="10" s="1"/>
  <c r="AN23" i="6"/>
  <c r="AL23" i="6"/>
  <c r="AX23" i="10" s="1"/>
  <c r="AN22" i="6"/>
  <c r="AL22" i="6"/>
  <c r="AX22" i="10" s="1"/>
  <c r="AN21" i="6"/>
  <c r="AL21" i="6"/>
  <c r="AX21" i="10" s="1"/>
  <c r="AN20" i="6"/>
  <c r="AL20" i="6"/>
  <c r="AX20" i="10" s="1"/>
  <c r="AN19" i="6"/>
  <c r="AL19" i="6"/>
  <c r="AX19" i="10" s="1"/>
  <c r="AN18" i="6"/>
  <c r="AL18" i="6"/>
  <c r="AX18" i="10" s="1"/>
  <c r="AN17" i="6"/>
  <c r="AL17" i="6"/>
  <c r="AX17" i="10" s="1"/>
  <c r="AN16" i="6"/>
  <c r="AL16" i="6"/>
  <c r="AX16" i="10" s="1"/>
  <c r="AN15" i="6"/>
  <c r="AL15" i="6"/>
  <c r="AX15" i="10" s="1"/>
  <c r="AN14" i="6"/>
  <c r="AL14" i="6"/>
  <c r="AX14" i="10" s="1"/>
  <c r="AN13" i="6"/>
  <c r="AL13" i="6"/>
  <c r="AX13" i="10" s="1"/>
  <c r="AN12" i="6"/>
  <c r="AL12" i="6"/>
  <c r="AX12" i="10" s="1"/>
  <c r="AN11" i="6"/>
  <c r="AL11" i="6"/>
  <c r="AX11" i="10" s="1"/>
  <c r="AN10" i="6"/>
  <c r="AL10" i="6"/>
  <c r="AX10" i="10" s="1"/>
  <c r="AN9" i="6"/>
  <c r="AL9" i="6"/>
  <c r="AX9" i="10" s="1"/>
  <c r="AN8" i="6"/>
  <c r="AL8" i="6"/>
  <c r="AX8" i="10" s="1"/>
  <c r="AN7" i="6"/>
  <c r="AL7" i="6"/>
  <c r="AX7" i="10" s="1"/>
  <c r="AN6" i="6"/>
  <c r="AL6" i="6"/>
  <c r="AX6" i="10" s="1"/>
  <c r="AN30" i="5"/>
  <c r="AL30" i="5"/>
  <c r="AV30" i="10" s="1"/>
  <c r="AN29" i="5"/>
  <c r="AL29" i="5"/>
  <c r="AV29" i="10" s="1"/>
  <c r="AN28" i="5"/>
  <c r="AL28" i="5"/>
  <c r="AV28" i="10" s="1"/>
  <c r="AN27" i="5"/>
  <c r="AL27" i="5"/>
  <c r="AV27" i="10" s="1"/>
  <c r="AN26" i="5"/>
  <c r="AL26" i="5"/>
  <c r="AV26" i="10" s="1"/>
  <c r="AN25" i="5"/>
  <c r="AL25" i="5"/>
  <c r="AV25" i="10" s="1"/>
  <c r="AN24" i="5"/>
  <c r="AL24" i="5"/>
  <c r="AV24" i="10" s="1"/>
  <c r="AN23" i="5"/>
  <c r="AL23" i="5"/>
  <c r="AV23" i="10" s="1"/>
  <c r="AN22" i="5"/>
  <c r="AL22" i="5"/>
  <c r="AV22" i="10" s="1"/>
  <c r="AN21" i="5"/>
  <c r="AL21" i="5"/>
  <c r="AV21" i="10" s="1"/>
  <c r="AN20" i="5"/>
  <c r="AL20" i="5"/>
  <c r="AV20" i="10" s="1"/>
  <c r="AN19" i="5"/>
  <c r="AL19" i="5"/>
  <c r="AV19" i="10" s="1"/>
  <c r="AN18" i="5"/>
  <c r="AL18" i="5"/>
  <c r="AV18" i="10" s="1"/>
  <c r="AN17" i="5"/>
  <c r="AL17" i="5"/>
  <c r="AV17" i="10" s="1"/>
  <c r="AN16" i="5"/>
  <c r="AL16" i="5"/>
  <c r="AV16" i="10" s="1"/>
  <c r="AN15" i="5"/>
  <c r="AL15" i="5"/>
  <c r="AV15" i="10" s="1"/>
  <c r="AN14" i="5"/>
  <c r="AL14" i="5"/>
  <c r="AV14" i="10" s="1"/>
  <c r="AN13" i="5"/>
  <c r="AL13" i="5"/>
  <c r="AV13" i="10" s="1"/>
  <c r="AN12" i="5"/>
  <c r="AL12" i="5"/>
  <c r="AV12" i="10" s="1"/>
  <c r="AN11" i="5"/>
  <c r="AL11" i="5"/>
  <c r="AV11" i="10" s="1"/>
  <c r="AN10" i="5"/>
  <c r="AL10" i="5"/>
  <c r="AV10" i="10" s="1"/>
  <c r="AN9" i="5"/>
  <c r="AL9" i="5"/>
  <c r="AV9" i="10" s="1"/>
  <c r="AN8" i="5"/>
  <c r="AL8" i="5"/>
  <c r="AV8" i="10" s="1"/>
  <c r="AN7" i="5"/>
  <c r="AL7" i="5"/>
  <c r="AV7" i="10" s="1"/>
  <c r="AN6" i="5"/>
  <c r="AN31" i="5" s="1"/>
  <c r="AL6" i="5"/>
  <c r="AL31" i="5" s="1"/>
  <c r="AN30" i="4"/>
  <c r="AL30" i="4"/>
  <c r="AT30" i="10" s="1"/>
  <c r="AN29" i="4"/>
  <c r="AL29" i="4"/>
  <c r="AT29" i="10" s="1"/>
  <c r="AN28" i="4"/>
  <c r="AL28" i="4"/>
  <c r="AT28" i="10" s="1"/>
  <c r="AN27" i="4"/>
  <c r="AL27" i="4"/>
  <c r="AT27" i="10" s="1"/>
  <c r="AN26" i="4"/>
  <c r="AL26" i="4"/>
  <c r="AT26" i="10" s="1"/>
  <c r="AN25" i="4"/>
  <c r="AL25" i="4"/>
  <c r="AT25" i="10" s="1"/>
  <c r="AN24" i="4"/>
  <c r="AL24" i="4"/>
  <c r="AT24" i="10" s="1"/>
  <c r="AN23" i="4"/>
  <c r="AL23" i="4"/>
  <c r="AT23" i="10" s="1"/>
  <c r="AN22" i="4"/>
  <c r="AL22" i="4"/>
  <c r="AT22" i="10" s="1"/>
  <c r="AN21" i="4"/>
  <c r="AL21" i="4"/>
  <c r="AT21" i="10" s="1"/>
  <c r="AN20" i="4"/>
  <c r="AL20" i="4"/>
  <c r="AT20" i="10" s="1"/>
  <c r="AN19" i="4"/>
  <c r="AL19" i="4"/>
  <c r="AT19" i="10" s="1"/>
  <c r="AN18" i="4"/>
  <c r="AL18" i="4"/>
  <c r="AT18" i="10" s="1"/>
  <c r="AN17" i="4"/>
  <c r="AL17" i="4"/>
  <c r="AT17" i="10" s="1"/>
  <c r="AN16" i="4"/>
  <c r="AL16" i="4"/>
  <c r="AT16" i="10" s="1"/>
  <c r="AN15" i="4"/>
  <c r="AL15" i="4"/>
  <c r="AT15" i="10" s="1"/>
  <c r="AN14" i="4"/>
  <c r="AL14" i="4"/>
  <c r="AT14" i="10" s="1"/>
  <c r="AN13" i="4"/>
  <c r="AL13" i="4"/>
  <c r="AT13" i="10" s="1"/>
  <c r="AN12" i="4"/>
  <c r="AL12" i="4"/>
  <c r="AT12" i="10" s="1"/>
  <c r="AN11" i="4"/>
  <c r="AL11" i="4"/>
  <c r="AT11" i="10" s="1"/>
  <c r="AN10" i="4"/>
  <c r="AL10" i="4"/>
  <c r="AT10" i="10" s="1"/>
  <c r="AN9" i="4"/>
  <c r="AL9" i="4"/>
  <c r="AT9" i="10" s="1"/>
  <c r="AN8" i="4"/>
  <c r="AL8" i="4"/>
  <c r="AT8" i="10" s="1"/>
  <c r="AN7" i="4"/>
  <c r="AL7" i="4"/>
  <c r="AT7" i="10" s="1"/>
  <c r="AN6" i="4"/>
  <c r="AL6" i="4"/>
  <c r="AN25" i="3"/>
  <c r="AL25" i="3"/>
  <c r="AR25" i="10" s="1"/>
  <c r="AL19" i="3"/>
  <c r="AR19" i="10" s="1"/>
  <c r="AN13" i="3"/>
  <c r="AL13" i="3"/>
  <c r="AR13" i="10" s="1"/>
  <c r="AN11" i="3"/>
  <c r="AL7" i="3"/>
  <c r="AR7" i="10" s="1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G31" i="4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6" i="1"/>
  <c r="H31" i="3"/>
  <c r="I31" i="3"/>
  <c r="J31" i="3"/>
  <c r="K31" i="3"/>
  <c r="L31" i="3"/>
  <c r="M31" i="3"/>
  <c r="N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G31" i="3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G31" i="1"/>
  <c r="AL7" i="1"/>
  <c r="AP7" i="10" s="1"/>
  <c r="AL8" i="1"/>
  <c r="AP8" i="10" s="1"/>
  <c r="AL9" i="1"/>
  <c r="AP9" i="10" s="1"/>
  <c r="AL10" i="1"/>
  <c r="AP10" i="10" s="1"/>
  <c r="AL11" i="1"/>
  <c r="AP11" i="10" s="1"/>
  <c r="AL12" i="1"/>
  <c r="AP12" i="10" s="1"/>
  <c r="AL13" i="1"/>
  <c r="AP13" i="10" s="1"/>
  <c r="AL14" i="1"/>
  <c r="AP14" i="10" s="1"/>
  <c r="AL15" i="1"/>
  <c r="AP15" i="10" s="1"/>
  <c r="AL16" i="1"/>
  <c r="AP16" i="10" s="1"/>
  <c r="AL17" i="1"/>
  <c r="AP17" i="10" s="1"/>
  <c r="AL18" i="1"/>
  <c r="AP18" i="10" s="1"/>
  <c r="AL19" i="1"/>
  <c r="AP19" i="10" s="1"/>
  <c r="AL20" i="1"/>
  <c r="AP20" i="10" s="1"/>
  <c r="AL21" i="1"/>
  <c r="AP21" i="10" s="1"/>
  <c r="AL22" i="1"/>
  <c r="AP22" i="10" s="1"/>
  <c r="AL23" i="1"/>
  <c r="AP23" i="10" s="1"/>
  <c r="AL24" i="1"/>
  <c r="AP24" i="10" s="1"/>
  <c r="AL25" i="1"/>
  <c r="AP25" i="10" s="1"/>
  <c r="AL26" i="1"/>
  <c r="AP26" i="10" s="1"/>
  <c r="AL27" i="1"/>
  <c r="AP27" i="10" s="1"/>
  <c r="AL28" i="1"/>
  <c r="AP28" i="10" s="1"/>
  <c r="AL29" i="1"/>
  <c r="AP29" i="10" s="1"/>
  <c r="AL30" i="1"/>
  <c r="AP30" i="10" s="1"/>
  <c r="AL6" i="1"/>
  <c r="AP6" i="10" s="1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6" i="1"/>
  <c r="BB31" i="10" l="1"/>
  <c r="AZ31" i="10"/>
  <c r="AX31" i="10"/>
  <c r="G5" i="1"/>
  <c r="I31" i="10"/>
  <c r="U31" i="10"/>
  <c r="AG31" i="10"/>
  <c r="AL26" i="10"/>
  <c r="BD31" i="10"/>
  <c r="AF31" i="10"/>
  <c r="T31" i="10"/>
  <c r="H31" i="10"/>
  <c r="AE31" i="10"/>
  <c r="S31" i="10"/>
  <c r="AN24" i="10"/>
  <c r="AD31" i="10"/>
  <c r="R31" i="10"/>
  <c r="AN29" i="10"/>
  <c r="AN26" i="10"/>
  <c r="AL23" i="10"/>
  <c r="AJ31" i="10"/>
  <c r="X31" i="10"/>
  <c r="L31" i="10"/>
  <c r="AC31" i="10"/>
  <c r="Q31" i="10"/>
  <c r="AN22" i="10"/>
  <c r="AB31" i="10"/>
  <c r="P31" i="10"/>
  <c r="AL27" i="10"/>
  <c r="AA31" i="10"/>
  <c r="O31" i="10"/>
  <c r="G31" i="10"/>
  <c r="Z31" i="10"/>
  <c r="N31" i="10"/>
  <c r="AL25" i="10"/>
  <c r="AK31" i="10"/>
  <c r="Y31" i="10"/>
  <c r="M31" i="10"/>
  <c r="AN30" i="10"/>
  <c r="AN23" i="10"/>
  <c r="AI31" i="10"/>
  <c r="W31" i="10"/>
  <c r="K31" i="10"/>
  <c r="AN28" i="10"/>
  <c r="AH31" i="10"/>
  <c r="V31" i="10"/>
  <c r="J31" i="10"/>
  <c r="AL28" i="10"/>
  <c r="AL29" i="10"/>
  <c r="AL30" i="10"/>
  <c r="AL22" i="10"/>
  <c r="AN27" i="10"/>
  <c r="AN20" i="10"/>
  <c r="AL16" i="10"/>
  <c r="AL24" i="10"/>
  <c r="AN25" i="10"/>
  <c r="AL13" i="10"/>
  <c r="AL12" i="10"/>
  <c r="AP31" i="10"/>
  <c r="AN31" i="1"/>
  <c r="AN6" i="10"/>
  <c r="AN21" i="10"/>
  <c r="AN14" i="10"/>
  <c r="AN16" i="10"/>
  <c r="AN17" i="10"/>
  <c r="AN13" i="10"/>
  <c r="AN15" i="10"/>
  <c r="AN12" i="10"/>
  <c r="AL18" i="10"/>
  <c r="AN11" i="10"/>
  <c r="AN8" i="10"/>
  <c r="AL31" i="4"/>
  <c r="AN31" i="4"/>
  <c r="AT6" i="10"/>
  <c r="AT31" i="10" s="1"/>
  <c r="AN9" i="10"/>
  <c r="AL31" i="6"/>
  <c r="AL8" i="10"/>
  <c r="AL7" i="10"/>
  <c r="AL9" i="10"/>
  <c r="AL11" i="10"/>
  <c r="AL10" i="10"/>
  <c r="AL20" i="10"/>
  <c r="AL21" i="10"/>
  <c r="AL19" i="10"/>
  <c r="AL17" i="10"/>
  <c r="AN18" i="10"/>
  <c r="AL15" i="10"/>
  <c r="AL14" i="10"/>
  <c r="AL31" i="9"/>
  <c r="AN31" i="9"/>
  <c r="AN31" i="8"/>
  <c r="AN19" i="10"/>
  <c r="AL31" i="8"/>
  <c r="AN10" i="10"/>
  <c r="AL31" i="7"/>
  <c r="AN31" i="7"/>
  <c r="AN31" i="6"/>
  <c r="AN7" i="10"/>
  <c r="AL6" i="10"/>
  <c r="AV6" i="10"/>
  <c r="AV31" i="10" s="1"/>
  <c r="AN8" i="3"/>
  <c r="AL23" i="3"/>
  <c r="AR23" i="10" s="1"/>
  <c r="AL16" i="3"/>
  <c r="AR16" i="10" s="1"/>
  <c r="AL17" i="3"/>
  <c r="AR17" i="10" s="1"/>
  <c r="AL15" i="3"/>
  <c r="AR15" i="10" s="1"/>
  <c r="AL27" i="3"/>
  <c r="AR27" i="10" s="1"/>
  <c r="AN21" i="3"/>
  <c r="AN7" i="3"/>
  <c r="AL28" i="3"/>
  <c r="AR28" i="10" s="1"/>
  <c r="AL9" i="3"/>
  <c r="AR9" i="10" s="1"/>
  <c r="AL10" i="3"/>
  <c r="AR10" i="10" s="1"/>
  <c r="AL29" i="3"/>
  <c r="AR29" i="10" s="1"/>
  <c r="AL6" i="3"/>
  <c r="AR6" i="10" s="1"/>
  <c r="AL12" i="3"/>
  <c r="AR12" i="10" s="1"/>
  <c r="AL18" i="3"/>
  <c r="AR18" i="10" s="1"/>
  <c r="AL24" i="3"/>
  <c r="AR24" i="10" s="1"/>
  <c r="AL30" i="3"/>
  <c r="AR30" i="10" s="1"/>
  <c r="AN6" i="3"/>
  <c r="AL8" i="3"/>
  <c r="AR8" i="10" s="1"/>
  <c r="AL14" i="3"/>
  <c r="AR14" i="10" s="1"/>
  <c r="AL20" i="3"/>
  <c r="AR20" i="10" s="1"/>
  <c r="AL26" i="3"/>
  <c r="AR26" i="10" s="1"/>
  <c r="AL31" i="1"/>
  <c r="AR31" i="10" l="1"/>
  <c r="AL31" i="10"/>
  <c r="AN31" i="10"/>
  <c r="AN31" i="3"/>
  <c r="AL3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<sst xmlns="http://schemas.openxmlformats.org/spreadsheetml/2006/main" count="305" uniqueCount="51">
  <si>
    <t>기간</t>
    <phoneticPr fontId="1" type="noConversion"/>
  </si>
  <si>
    <t>상호</t>
    <phoneticPr fontId="1" type="noConversion"/>
  </si>
  <si>
    <t>현장명</t>
    <phoneticPr fontId="1" type="noConversion"/>
  </si>
  <si>
    <t>책임자</t>
    <phoneticPr fontId="1" type="noConversion"/>
  </si>
  <si>
    <t>㈜ 만두건설(건축)</t>
    <phoneticPr fontId="1" type="noConversion"/>
  </si>
  <si>
    <t>1터널통합관리센터</t>
    <phoneticPr fontId="1" type="noConversion"/>
  </si>
  <si>
    <t>민용기</t>
    <phoneticPr fontId="1" type="noConversion"/>
  </si>
  <si>
    <t>번호</t>
    <phoneticPr fontId="1" type="noConversion"/>
  </si>
  <si>
    <t>성명</t>
    <phoneticPr fontId="1" type="noConversion"/>
  </si>
  <si>
    <t>일당</t>
    <phoneticPr fontId="1" type="noConversion"/>
  </si>
  <si>
    <t>공수</t>
    <phoneticPr fontId="1" type="noConversion"/>
  </si>
  <si>
    <t>총일수</t>
    <phoneticPr fontId="1" type="noConversion"/>
  </si>
  <si>
    <t>출력현황</t>
    <phoneticPr fontId="1" type="noConversion"/>
  </si>
  <si>
    <t>합계</t>
    <phoneticPr fontId="1" type="noConversion"/>
  </si>
  <si>
    <t>만두토목</t>
    <phoneticPr fontId="1" type="noConversion"/>
  </si>
  <si>
    <t>만두건설</t>
    <phoneticPr fontId="1" type="noConversion"/>
  </si>
  <si>
    <t>홍천서석</t>
    <phoneticPr fontId="1" type="noConversion"/>
  </si>
  <si>
    <t>사창리</t>
    <phoneticPr fontId="1" type="noConversion"/>
  </si>
  <si>
    <t>대원건설</t>
    <phoneticPr fontId="1" type="noConversion"/>
  </si>
  <si>
    <t>정윤일</t>
    <phoneticPr fontId="1" type="noConversion"/>
  </si>
  <si>
    <t>비고1</t>
    <phoneticPr fontId="1" type="noConversion"/>
  </si>
  <si>
    <t>비고2</t>
    <phoneticPr fontId="1" type="noConversion"/>
  </si>
  <si>
    <t>김철수</t>
    <phoneticPr fontId="1" type="noConversion"/>
  </si>
  <si>
    <t>이영휘</t>
    <phoneticPr fontId="1" type="noConversion"/>
  </si>
  <si>
    <t>박민수</t>
    <phoneticPr fontId="1" type="noConversion"/>
  </si>
  <si>
    <t>최지훈</t>
    <phoneticPr fontId="1" type="noConversion"/>
  </si>
  <si>
    <t>정수진</t>
    <phoneticPr fontId="1" type="noConversion"/>
  </si>
  <si>
    <t>이준호</t>
    <phoneticPr fontId="1" type="noConversion"/>
  </si>
  <si>
    <t>한지민</t>
    <phoneticPr fontId="1" type="noConversion"/>
  </si>
  <si>
    <t>오세훈</t>
    <phoneticPr fontId="1" type="noConversion"/>
  </si>
  <si>
    <t>장민재</t>
    <phoneticPr fontId="1" type="noConversion"/>
  </si>
  <si>
    <t>윤지아</t>
    <phoneticPr fontId="1" type="noConversion"/>
  </si>
  <si>
    <t>임동현</t>
    <phoneticPr fontId="1" type="noConversion"/>
  </si>
  <si>
    <t>심유진</t>
    <phoneticPr fontId="1" type="noConversion"/>
  </si>
  <si>
    <t>조현우</t>
    <phoneticPr fontId="1" type="noConversion"/>
  </si>
  <si>
    <t>서지은</t>
    <phoneticPr fontId="1" type="noConversion"/>
  </si>
  <si>
    <t>백승민</t>
    <phoneticPr fontId="1" type="noConversion"/>
  </si>
  <si>
    <t>강다연</t>
    <phoneticPr fontId="1" type="noConversion"/>
  </si>
  <si>
    <t>문지호</t>
    <phoneticPr fontId="1" type="noConversion"/>
  </si>
  <si>
    <t>일용노무비지급명세서</t>
    <phoneticPr fontId="1" type="noConversion"/>
  </si>
  <si>
    <t>2026-02</t>
    <phoneticPr fontId="1" type="noConversion"/>
  </si>
  <si>
    <t>이영수</t>
    <phoneticPr fontId="1" type="noConversion"/>
  </si>
  <si>
    <t>이수지</t>
    <phoneticPr fontId="1" type="noConversion"/>
  </si>
  <si>
    <t>홍준표</t>
    <phoneticPr fontId="1" type="noConversion"/>
  </si>
  <si>
    <t>이</t>
    <phoneticPr fontId="1" type="noConversion"/>
  </si>
  <si>
    <t>이서진</t>
    <phoneticPr fontId="1" type="noConversion"/>
  </si>
  <si>
    <t>김문수</t>
    <phoneticPr fontId="1" type="noConversion"/>
  </si>
  <si>
    <t>이광휘</t>
    <phoneticPr fontId="1" type="noConversion"/>
  </si>
  <si>
    <t>서인철</t>
    <phoneticPr fontId="1" type="noConversion"/>
  </si>
  <si>
    <t>문준호</t>
    <phoneticPr fontId="1" type="noConversion"/>
  </si>
  <si>
    <t>이동훈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</si>
</sst>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80" formatCode="dd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37"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theme="4"/>
      </font>
    </dxf>
    <dxf>
      <font>
        <color theme="4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6321-6956-49FD-B5F5-FC4B39822CE4}">
  <sheetPr codeName="Sheet1"/>
  <dimension ref="A1:AO31"/>
  <sheetViews>
    <sheetView zoomScale="110" zoomScaleNormal="110" workbookViewId="0">
      <selection activeCell="H12" sqref="H12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/>
      <c r="AJ6" s="2"/>
      <c r="AK6" s="2"/>
      <c r="AL6" s="4">
        <f>IF(SUM(G6:AK6)&gt;0,SUM(G6:AK6),"")</f>
        <v>28</v>
      </c>
      <c r="AM6" s="4"/>
      <c r="AN6" s="4">
        <f>IF(COUNTA(G6:AK6)&gt;0,COUNTA(G6:AJ6),"")</f>
        <v>28</v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s="22" customFormat="1" ht="23.15" customHeight="1" x14ac:dyDescent="0.55000000000000004">
      <c r="A12" s="20">
        <f t="shared" si="0"/>
        <v>7</v>
      </c>
      <c r="B12" s="20"/>
      <c r="C12" s="20" t="s">
        <v>28</v>
      </c>
      <c r="D12" s="20"/>
      <c r="E12" s="2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 t="str">
        <f t="shared" si="1"/>
        <v/>
      </c>
      <c r="AM12" s="20"/>
      <c r="AN12" s="20" t="str">
        <f t="shared" si="2"/>
        <v/>
      </c>
      <c r="AO12" s="20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C6:D6"/>
    <mergeCell ref="E6:F6"/>
    <mergeCell ref="A7:B7"/>
    <mergeCell ref="A8:B8"/>
    <mergeCell ref="A9:B9"/>
    <mergeCell ref="AM1:AO3"/>
    <mergeCell ref="A4:B5"/>
    <mergeCell ref="C4:D5"/>
    <mergeCell ref="E4:F5"/>
    <mergeCell ref="G4:AO4"/>
    <mergeCell ref="H1:J3"/>
    <mergeCell ref="K1:U3"/>
    <mergeCell ref="AJ1:AL3"/>
    <mergeCell ref="V1:Z1"/>
    <mergeCell ref="V2:Z2"/>
    <mergeCell ref="V3:Z3"/>
    <mergeCell ref="AA1:AI1"/>
    <mergeCell ref="AA2:AI2"/>
    <mergeCell ref="AA3:AI3"/>
    <mergeCell ref="A3:G3"/>
    <mergeCell ref="A1:G2"/>
    <mergeCell ref="A20:B20"/>
    <mergeCell ref="A21:B21"/>
    <mergeCell ref="A10:B10"/>
    <mergeCell ref="A11:B11"/>
    <mergeCell ref="A12:B12"/>
    <mergeCell ref="A13:B13"/>
    <mergeCell ref="A14:B14"/>
    <mergeCell ref="A15:B15"/>
    <mergeCell ref="A6:B6"/>
    <mergeCell ref="C15:D15"/>
    <mergeCell ref="C16:D16"/>
    <mergeCell ref="C17:D17"/>
    <mergeCell ref="C18:D18"/>
    <mergeCell ref="A28:B28"/>
    <mergeCell ref="A29:B29"/>
    <mergeCell ref="A30:B30"/>
    <mergeCell ref="A31:B31"/>
    <mergeCell ref="C7:D7"/>
    <mergeCell ref="C8:D8"/>
    <mergeCell ref="C9:D9"/>
    <mergeCell ref="C10:D10"/>
    <mergeCell ref="C11:D11"/>
    <mergeCell ref="C12:D12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C31:D31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E26:F26"/>
    <mergeCell ref="E27:F27"/>
    <mergeCell ref="E16:F16"/>
    <mergeCell ref="E17:F17"/>
    <mergeCell ref="E18:F18"/>
    <mergeCell ref="E19:F19"/>
    <mergeCell ref="E20:F20"/>
    <mergeCell ref="E21:F21"/>
    <mergeCell ref="AL10:AM10"/>
    <mergeCell ref="AL11:AM11"/>
    <mergeCell ref="AL12:AM12"/>
    <mergeCell ref="AL13:AM13"/>
    <mergeCell ref="AL14:AM14"/>
    <mergeCell ref="AN5:AO5"/>
    <mergeCell ref="AL5:AM5"/>
    <mergeCell ref="AL6:AM6"/>
    <mergeCell ref="AL7:AM7"/>
    <mergeCell ref="AL8:AM8"/>
    <mergeCell ref="AL9:AM9"/>
    <mergeCell ref="E22:F22"/>
    <mergeCell ref="E23:F23"/>
    <mergeCell ref="E24:F24"/>
    <mergeCell ref="AN31:AO31"/>
    <mergeCell ref="AN24:AO24"/>
    <mergeCell ref="AN25:AO25"/>
    <mergeCell ref="AN26:AO26"/>
    <mergeCell ref="AL15:AM15"/>
    <mergeCell ref="E28:F28"/>
    <mergeCell ref="E29:F29"/>
    <mergeCell ref="E30:F30"/>
    <mergeCell ref="AN16:AO16"/>
    <mergeCell ref="AN17:AO17"/>
    <mergeCell ref="AL28:AM28"/>
    <mergeCell ref="AL29:AM29"/>
    <mergeCell ref="AL30:AM30"/>
    <mergeCell ref="AN27:AO27"/>
    <mergeCell ref="AN28:AO28"/>
    <mergeCell ref="AN29:AO29"/>
    <mergeCell ref="AN18:AO18"/>
    <mergeCell ref="AN19:AO19"/>
    <mergeCell ref="AN20:AO20"/>
    <mergeCell ref="AN21:AO21"/>
    <mergeCell ref="AN22:AO22"/>
    <mergeCell ref="AN23:AO23"/>
    <mergeCell ref="E31:F31"/>
    <mergeCell ref="E25:F25"/>
    <mergeCell ref="AN12:AO12"/>
    <mergeCell ref="AN13:AO13"/>
    <mergeCell ref="AN14:AO14"/>
    <mergeCell ref="AN15:AO15"/>
    <mergeCell ref="AL31:AM31"/>
    <mergeCell ref="AN6:AO6"/>
    <mergeCell ref="AN7:AO7"/>
    <mergeCell ref="AN8:AO8"/>
    <mergeCell ref="AN9:AO9"/>
    <mergeCell ref="AN10:AO10"/>
    <mergeCell ref="AN11:AO11"/>
    <mergeCell ref="AL22:AM22"/>
    <mergeCell ref="AL23:AM23"/>
    <mergeCell ref="AL24:AM24"/>
    <mergeCell ref="AL25:AM25"/>
    <mergeCell ref="AL26:AM26"/>
    <mergeCell ref="AL27:AM27"/>
    <mergeCell ref="AL16:AM16"/>
    <mergeCell ref="AL17:AM17"/>
    <mergeCell ref="AL18:AM18"/>
    <mergeCell ref="AL19:AM19"/>
    <mergeCell ref="AL20:AM20"/>
    <mergeCell ref="AL21:AM21"/>
    <mergeCell ref="AN30:AO30"/>
  </mergeCells>
  <phoneticPr fontId="1" type="noConversion"/>
  <conditionalFormatting sqref="G5:AK5">
    <cfRule type="expression" dxfId="28" priority="4">
      <formula>_xlfn.LET(     _xlpm.y, LEFT($A$3,4),     _xlpm.m, RIGHT($A$3,2),     _xlpm.d, _xlfn.SEQUENCE(1,31,1,1),     _xlpm.date, DATE(_xlpm.y, _xlpm.m, _xlpm.d),     IF(_xlpm.d&lt;=DAY(EOMONTH(DATE(_xlpm.y,_xlpm.m,1),0)), _xlpm.date, "") )</formula>
    </cfRule>
    <cfRule type="expression" dxfId="27" priority="3">
      <formula>WEEKDAY(DATE(LEFT($A$3,4),RIGHT($A$3,2),COLUMN()-COLUMN($G$5)+1))=7</formula>
    </cfRule>
    <cfRule type="expression" dxfId="26" priority="2">
      <formula>WEEKDAY(DATE(LEFT($A$3,4),RIGHT($A$3,2),COLUMN()-COLUMN($G$5)+1))=1</formula>
    </cfRule>
  </conditionalFormatting>
  <conditionalFormatting sqref="A6:AO30">
    <cfRule type="expression" dxfId="24" priority="1">
      <formula>MOD(ROW(),2)=0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07E2-FC72-4F29-877F-70443481234A}">
  <sheetPr codeName="Sheet2"/>
  <dimension ref="A1:AO31"/>
  <sheetViews>
    <sheetView zoomScale="110" zoomScaleNormal="110" workbookViewId="0">
      <selection activeCell="H13" sqref="H13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29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/>
      <c r="AJ7" s="2"/>
      <c r="AK7" s="2"/>
      <c r="AL7" s="4">
        <f t="shared" ref="AL7:AL30" si="1">IF(SUM(G7:AK7)&gt;0,SUM(G7:AK7),"")</f>
        <v>28</v>
      </c>
      <c r="AM7" s="4"/>
      <c r="AN7" s="4">
        <f t="shared" ref="AN7:AN30" si="2">IF(COUNTA(G7:AK7)&gt;0,COUNTA(G7:AJ7),"")</f>
        <v>28</v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26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41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42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6" priority="4">
      <formula>MOD(ROW(),2)=0</formula>
    </cfRule>
  </conditionalFormatting>
  <conditionalFormatting sqref="G5:AK5">
    <cfRule type="expression" dxfId="21" priority="1">
      <formula>WEEKDAY(DATE(LEFT($A$3,4),RIGHT($A$3,2),COLUMN()-COLUMN($G$5)+1))=1</formula>
    </cfRule>
    <cfRule type="expression" dxfId="22" priority="2">
      <formula>WEEKDAY(DATE(LEFT($A$3,4),RIGHT($A$3,2),COLUMN()-COLUMN($G$5)+1))=7</formula>
    </cfRule>
    <cfRule type="expression" dxfId="23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1520-032C-492C-A873-B1CFB108C4E7}">
  <sheetPr codeName="Sheet3"/>
  <dimension ref="A1:AO31"/>
  <sheetViews>
    <sheetView topLeftCell="P4" zoomScale="110" zoomScaleNormal="110" workbookViewId="0">
      <selection activeCell="U24" sqref="U24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6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43</v>
      </c>
      <c r="D8" s="4"/>
      <c r="E8" s="4"/>
      <c r="F8" s="4"/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/>
      <c r="AJ8" s="2"/>
      <c r="AK8" s="2"/>
      <c r="AL8" s="4">
        <f t="shared" si="1"/>
        <v>28</v>
      </c>
      <c r="AM8" s="4"/>
      <c r="AN8" s="4">
        <f t="shared" si="2"/>
        <v>28</v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hidden="1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hidden="1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hidden="1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hidden="1" customHeight="1" x14ac:dyDescent="0.55000000000000004">
      <c r="A14" s="4">
        <f t="shared" si="0"/>
        <v>9</v>
      </c>
      <c r="B14" s="4"/>
      <c r="C14" s="4" t="s">
        <v>44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hidden="1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hidden="1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hidden="1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hidden="1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45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46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5" priority="4">
      <formula>MOD(ROW(),2)=0</formula>
    </cfRule>
  </conditionalFormatting>
  <conditionalFormatting sqref="G5:AK5">
    <cfRule type="expression" dxfId="18" priority="1">
      <formula>WEEKDAY(DATE(LEFT($A$3,4),RIGHT($A$3,2),COLUMN()-COLUMN($G$5)+1))=1</formula>
    </cfRule>
    <cfRule type="expression" dxfId="19" priority="2">
      <formula>WEEKDAY(DATE(LEFT($A$3,4),RIGHT($A$3,2),COLUMN()-COLUMN($G$5)+1))=7</formula>
    </cfRule>
    <cfRule type="expression" dxfId="20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CDD-831F-4AE2-A10F-2CE05D748023}">
  <sheetPr codeName="Sheet4"/>
  <dimension ref="A1:AO31"/>
  <sheetViews>
    <sheetView topLeftCell="S1" zoomScale="110" zoomScaleNormal="110" workbookViewId="0">
      <selection activeCell="Y12" sqref="Y12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47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/>
      <c r="AJ9" s="2"/>
      <c r="AK9" s="2"/>
      <c r="AL9" s="4">
        <f t="shared" si="1"/>
        <v>28</v>
      </c>
      <c r="AM9" s="4"/>
      <c r="AN9" s="4">
        <f t="shared" si="2"/>
        <v>28</v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48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49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50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4" priority="4">
      <formula>MOD(ROW(),2)=0</formula>
    </cfRule>
  </conditionalFormatting>
  <conditionalFormatting sqref="G5:AK5">
    <cfRule type="expression" dxfId="15" priority="1">
      <formula>WEEKDAY(DATE(LEFT($A$3,4),RIGHT($A$3,2),COLUMN()-COLUMN($G$5)+1))=1</formula>
    </cfRule>
    <cfRule type="expression" dxfId="16" priority="2">
      <formula>WEEKDAY(DATE(LEFT($A$3,4),RIGHT($A$3,2),COLUMN()-COLUMN($G$5)+1))=7</formula>
    </cfRule>
    <cfRule type="expression" dxfId="17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D27E-9243-4BBC-9F27-0F72DA9A6C06}">
  <sheetPr codeName="Sheet5"/>
  <dimension ref="A1:AO31"/>
  <sheetViews>
    <sheetView topLeftCell="M1" zoomScale="110" zoomScaleNormal="110" workbookViewId="0">
      <selection activeCell="T12" sqref="T12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/>
      <c r="AJ10" s="2"/>
      <c r="AK10" s="2"/>
      <c r="AL10" s="4">
        <f t="shared" si="1"/>
        <v>28</v>
      </c>
      <c r="AM10" s="4"/>
      <c r="AN10" s="4">
        <f t="shared" si="2"/>
        <v>28</v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3" priority="4">
      <formula>MOD(ROW(),2)=0</formula>
    </cfRule>
  </conditionalFormatting>
  <conditionalFormatting sqref="G5:AK5">
    <cfRule type="expression" dxfId="12" priority="1">
      <formula>WEEKDAY(DATE(LEFT($A$3,4),RIGHT($A$3,2),COLUMN()-COLUMN($G$5)+1))=1</formula>
    </cfRule>
    <cfRule type="expression" dxfId="13" priority="2">
      <formula>WEEKDAY(DATE(LEFT($A$3,4),RIGHT($A$3,2),COLUMN()-COLUMN($G$5)+1))=7</formula>
    </cfRule>
    <cfRule type="expression" dxfId="14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3568-FB0D-42FC-87DE-123D41CDB843}">
  <sheetPr codeName="Sheet6"/>
  <dimension ref="A1:AO31"/>
  <sheetViews>
    <sheetView topLeftCell="Q1" zoomScale="110" zoomScaleNormal="110" workbookViewId="0">
      <selection activeCell="X12" sqref="X12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/>
      <c r="AJ11" s="2"/>
      <c r="AK11" s="2"/>
      <c r="AL11" s="4">
        <f t="shared" si="1"/>
        <v>28</v>
      </c>
      <c r="AM11" s="4"/>
      <c r="AN11" s="4">
        <f t="shared" si="2"/>
        <v>28</v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2" priority="4">
      <formula>MOD(ROW(),2)=0</formula>
    </cfRule>
  </conditionalFormatting>
  <conditionalFormatting sqref="G5:AK5">
    <cfRule type="expression" dxfId="9" priority="1">
      <formula>WEEKDAY(DATE(LEFT($A$3,4),RIGHT($A$3,2),COLUMN()-COLUMN($G$5)+1))=1</formula>
    </cfRule>
    <cfRule type="expression" dxfId="10" priority="2">
      <formula>WEEKDAY(DATE(LEFT($A$3,4),RIGHT($A$3,2),COLUMN()-COLUMN($G$5)+1))=7</formula>
    </cfRule>
    <cfRule type="expression" dxfId="11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514-C74B-478B-B75A-6FD3A22A0BE3}">
  <sheetPr codeName="Sheet7"/>
  <dimension ref="A1:AO31"/>
  <sheetViews>
    <sheetView topLeftCell="L1" zoomScale="110" zoomScaleNormal="110" workbookViewId="0">
      <selection activeCell="S12" sqref="S12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/>
      <c r="AJ13" s="2"/>
      <c r="AK13" s="2"/>
      <c r="AL13" s="4">
        <f t="shared" si="1"/>
        <v>28</v>
      </c>
      <c r="AM13" s="4"/>
      <c r="AN13" s="4">
        <f t="shared" si="2"/>
        <v>28</v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tr">
        <f t="shared" si="1"/>
        <v/>
      </c>
      <c r="AM18" s="4"/>
      <c r="AN18" s="4" t="str">
        <f t="shared" si="2"/>
        <v/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 t="str">
        <f t="shared" si="3"/>
        <v/>
      </c>
      <c r="AJ31" s="2" t="str">
        <f t="shared" si="3"/>
        <v/>
      </c>
      <c r="AK31" s="2" t="str">
        <f t="shared" si="3"/>
        <v/>
      </c>
      <c r="AL31" s="4">
        <f>SUM(AL6:AM30)</f>
        <v>28</v>
      </c>
      <c r="AM31" s="4"/>
      <c r="AN31" s="4">
        <f>SUM(AN6:AO30)</f>
        <v>28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1" priority="4">
      <formula>MOD(ROW(),2)=0</formula>
    </cfRule>
  </conditionalFormatting>
  <conditionalFormatting sqref="G5:AK5">
    <cfRule type="expression" dxfId="6" priority="1">
      <formula>WEEKDAY(DATE(LEFT($A$3,4),RIGHT($A$3,2),COLUMN()-COLUMN($G$5)+1))=1</formula>
    </cfRule>
    <cfRule type="expression" dxfId="7" priority="2">
      <formula>WEEKDAY(DATE(LEFT($A$3,4),RIGHT($A$3,2),COLUMN()-COLUMN($G$5)+1))=7</formula>
    </cfRule>
    <cfRule type="expression" dxfId="8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5E5A-C1E6-4245-A08F-9D7209896E33}">
  <sheetPr codeName="Sheet8"/>
  <dimension ref="A1:AO31"/>
  <sheetViews>
    <sheetView topLeftCell="S7" zoomScale="110" zoomScaleNormal="110" workbookViewId="0">
      <selection activeCell="Y16" sqref="Y16"/>
    </sheetView>
  </sheetViews>
  <sheetFormatPr defaultColWidth="9" defaultRowHeight="17.600000000000001" x14ac:dyDescent="0.55000000000000004"/>
  <cols>
    <col min="1" max="41" width="4.640625" style="1" customWidth="1"/>
    <col min="42" max="16384" width="9" style="1"/>
  </cols>
  <sheetData>
    <row r="1" spans="1:41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</row>
    <row r="6" spans="1:41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" t="str">
        <f>IF(SUM(G6:AK6)&gt;0,SUM(G6:AK6),"")</f>
        <v/>
      </c>
      <c r="AM6" s="4"/>
      <c r="AN6" s="4" t="str">
        <f>IF(COUNTA(G6:AK6)&gt;0,COUNTA(G6:AJ6),"")</f>
        <v/>
      </c>
      <c r="AO6" s="4"/>
    </row>
    <row r="7" spans="1:41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 t="str">
        <f t="shared" ref="AL7:AL30" si="1">IF(SUM(G7:AK7)&gt;0,SUM(G7:AK7),"")</f>
        <v/>
      </c>
      <c r="AM7" s="4"/>
      <c r="AN7" s="4" t="str">
        <f t="shared" ref="AN7:AN30" si="2">IF(COUNTA(G7:AK7)&gt;0,COUNTA(G7:AJ7),"")</f>
        <v/>
      </c>
      <c r="AO7" s="4"/>
    </row>
    <row r="8" spans="1:41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 t="str">
        <f t="shared" si="1"/>
        <v/>
      </c>
      <c r="AM8" s="4"/>
      <c r="AN8" s="4" t="str">
        <f t="shared" si="2"/>
        <v/>
      </c>
      <c r="AO8" s="4"/>
    </row>
    <row r="9" spans="1:41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4" t="str">
        <f t="shared" si="1"/>
        <v/>
      </c>
      <c r="AM9" s="4"/>
      <c r="AN9" s="4" t="str">
        <f t="shared" si="2"/>
        <v/>
      </c>
      <c r="AO9" s="4"/>
    </row>
    <row r="10" spans="1:41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 t="str">
        <f t="shared" si="1"/>
        <v/>
      </c>
      <c r="AM10" s="4"/>
      <c r="AN10" s="4" t="str">
        <f t="shared" si="2"/>
        <v/>
      </c>
      <c r="AO10" s="4"/>
    </row>
    <row r="11" spans="1:41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4" t="str">
        <f t="shared" si="1"/>
        <v/>
      </c>
      <c r="AM11" s="4"/>
      <c r="AN11" s="4" t="str">
        <f t="shared" si="2"/>
        <v/>
      </c>
      <c r="AO11" s="4"/>
    </row>
    <row r="12" spans="1:41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 t="str">
        <f t="shared" si="1"/>
        <v/>
      </c>
      <c r="AM12" s="4"/>
      <c r="AN12" s="4" t="str">
        <f t="shared" si="2"/>
        <v/>
      </c>
      <c r="AO12" s="4"/>
    </row>
    <row r="13" spans="1:41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 t="str">
        <f t="shared" si="1"/>
        <v/>
      </c>
      <c r="AM13" s="4"/>
      <c r="AN13" s="4" t="str">
        <f t="shared" si="2"/>
        <v/>
      </c>
      <c r="AO13" s="4"/>
    </row>
    <row r="14" spans="1:41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 t="str">
        <f t="shared" si="1"/>
        <v/>
      </c>
      <c r="AM14" s="4"/>
      <c r="AN14" s="4" t="str">
        <f t="shared" si="2"/>
        <v/>
      </c>
      <c r="AO14" s="4"/>
    </row>
    <row r="15" spans="1:41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 t="str">
        <f t="shared" si="1"/>
        <v/>
      </c>
      <c r="AM15" s="4"/>
      <c r="AN15" s="4" t="str">
        <f t="shared" si="2"/>
        <v/>
      </c>
      <c r="AO15" s="4"/>
    </row>
    <row r="16" spans="1:41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 t="str">
        <f t="shared" si="1"/>
        <v/>
      </c>
      <c r="AM16" s="4"/>
      <c r="AN16" s="4" t="str">
        <f t="shared" si="2"/>
        <v/>
      </c>
      <c r="AO16" s="4"/>
    </row>
    <row r="17" spans="1:41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 t="str">
        <f t="shared" si="1"/>
        <v/>
      </c>
      <c r="AM17" s="4"/>
      <c r="AN17" s="4" t="str">
        <f t="shared" si="2"/>
        <v/>
      </c>
      <c r="AO17" s="4"/>
    </row>
    <row r="18" spans="1:41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4">
        <f t="shared" si="1"/>
        <v>31</v>
      </c>
      <c r="AM18" s="4"/>
      <c r="AN18" s="4">
        <f t="shared" si="2"/>
        <v>30</v>
      </c>
      <c r="AO18" s="4"/>
    </row>
    <row r="19" spans="1:41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 t="str">
        <f t="shared" si="1"/>
        <v/>
      </c>
      <c r="AM19" s="4"/>
      <c r="AN19" s="4" t="str">
        <f t="shared" si="2"/>
        <v/>
      </c>
      <c r="AO19" s="4"/>
    </row>
    <row r="20" spans="1:41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 t="str">
        <f t="shared" si="1"/>
        <v/>
      </c>
      <c r="AM20" s="4"/>
      <c r="AN20" s="4" t="str">
        <f t="shared" si="2"/>
        <v/>
      </c>
      <c r="AO20" s="4"/>
    </row>
    <row r="21" spans="1:41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4" t="str">
        <f t="shared" si="1"/>
        <v/>
      </c>
      <c r="AM21" s="4"/>
      <c r="AN21" s="4" t="str">
        <f t="shared" si="2"/>
        <v/>
      </c>
      <c r="AO21" s="4"/>
    </row>
    <row r="22" spans="1:41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 t="str">
        <f t="shared" si="1"/>
        <v/>
      </c>
      <c r="AM22" s="4"/>
      <c r="AN22" s="4" t="str">
        <f t="shared" si="2"/>
        <v/>
      </c>
      <c r="AO22" s="4"/>
    </row>
    <row r="23" spans="1:41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 t="str">
        <f t="shared" si="1"/>
        <v/>
      </c>
      <c r="AM23" s="4"/>
      <c r="AN23" s="4" t="str">
        <f t="shared" si="2"/>
        <v/>
      </c>
      <c r="AO23" s="4"/>
    </row>
    <row r="24" spans="1:41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 t="str">
        <f t="shared" si="1"/>
        <v/>
      </c>
      <c r="AM24" s="4"/>
      <c r="AN24" s="4" t="str">
        <f t="shared" si="2"/>
        <v/>
      </c>
      <c r="AO24" s="4"/>
    </row>
    <row r="25" spans="1:41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 t="str">
        <f t="shared" si="1"/>
        <v/>
      </c>
      <c r="AM25" s="4"/>
      <c r="AN25" s="4" t="str">
        <f t="shared" si="2"/>
        <v/>
      </c>
      <c r="AO25" s="4"/>
    </row>
    <row r="26" spans="1:41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 t="str">
        <f t="shared" si="1"/>
        <v/>
      </c>
      <c r="AM26" s="4"/>
      <c r="AN26" s="4" t="str">
        <f t="shared" si="2"/>
        <v/>
      </c>
      <c r="AO26" s="4"/>
    </row>
    <row r="27" spans="1:41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 t="str">
        <f t="shared" si="1"/>
        <v/>
      </c>
      <c r="AM27" s="4"/>
      <c r="AN27" s="4" t="str">
        <f t="shared" si="2"/>
        <v/>
      </c>
      <c r="AO27" s="4"/>
    </row>
    <row r="28" spans="1:41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 t="str">
        <f t="shared" si="1"/>
        <v/>
      </c>
      <c r="AM28" s="4"/>
      <c r="AN28" s="4" t="str">
        <f t="shared" si="2"/>
        <v/>
      </c>
      <c r="AO28" s="4"/>
    </row>
    <row r="29" spans="1:41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 t="str">
        <f t="shared" si="1"/>
        <v/>
      </c>
      <c r="AM29" s="4"/>
      <c r="AN29" s="4" t="str">
        <f t="shared" si="2"/>
        <v/>
      </c>
      <c r="AO29" s="4"/>
    </row>
    <row r="30" spans="1:41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 t="str">
        <f t="shared" si="1"/>
        <v/>
      </c>
      <c r="AM30" s="4"/>
      <c r="AN30" s="4" t="str">
        <f t="shared" si="2"/>
        <v/>
      </c>
      <c r="AO30" s="4"/>
    </row>
    <row r="31" spans="1:41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1</v>
      </c>
      <c r="H31" s="2">
        <f t="shared" ref="H31:AK31" si="3">IF(SUM(H6:H30)&gt;0,SUM(H6:H30),"")</f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1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  <c r="AC31" s="2">
        <f t="shared" si="3"/>
        <v>1</v>
      </c>
      <c r="AD31" s="2">
        <f t="shared" si="3"/>
        <v>1</v>
      </c>
      <c r="AE31" s="2">
        <f t="shared" si="3"/>
        <v>1</v>
      </c>
      <c r="AF31" s="2">
        <f t="shared" si="3"/>
        <v>1</v>
      </c>
      <c r="AG31" s="2">
        <f t="shared" si="3"/>
        <v>1</v>
      </c>
      <c r="AH31" s="2">
        <f t="shared" si="3"/>
        <v>1</v>
      </c>
      <c r="AI31" s="2">
        <f t="shared" si="3"/>
        <v>1</v>
      </c>
      <c r="AJ31" s="2">
        <f t="shared" si="3"/>
        <v>1</v>
      </c>
      <c r="AK31" s="2">
        <f t="shared" si="3"/>
        <v>1</v>
      </c>
      <c r="AL31" s="4">
        <f>SUM(AL6:AM30)</f>
        <v>31</v>
      </c>
      <c r="AM31" s="4"/>
      <c r="AN31" s="4">
        <f>SUM(AN6:AO30)</f>
        <v>30</v>
      </c>
      <c r="AO31" s="4"/>
    </row>
  </sheetData>
  <mergeCells count="148"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27:B27"/>
    <mergeCell ref="C27:D27"/>
    <mergeCell ref="E27:F27"/>
    <mergeCell ref="AL27:AM27"/>
    <mergeCell ref="AN27:AO27"/>
    <mergeCell ref="A28:B28"/>
    <mergeCell ref="C28:D28"/>
    <mergeCell ref="E28:F28"/>
    <mergeCell ref="AL28:AM28"/>
    <mergeCell ref="AN28:AO28"/>
    <mergeCell ref="A31:B31"/>
    <mergeCell ref="C31:D31"/>
    <mergeCell ref="E31:F31"/>
    <mergeCell ref="AL31:AM31"/>
    <mergeCell ref="AN31:AO31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</mergeCells>
  <phoneticPr fontId="1" type="noConversion"/>
  <conditionalFormatting sqref="A6:AO30">
    <cfRule type="expression" dxfId="30" priority="4">
      <formula>MOD(ROW(),2)=0</formula>
    </cfRule>
  </conditionalFormatting>
  <conditionalFormatting sqref="G5:AK5">
    <cfRule type="expression" dxfId="3" priority="1">
      <formula>WEEKDAY(DATE(LEFT($A$3,4),RIGHT($A$3,2),COLUMN()-COLUMN($G$5)+1))=1</formula>
    </cfRule>
    <cfRule type="expression" dxfId="4" priority="2">
      <formula>WEEKDAY(DATE(LEFT($A$3,4),RIGHT($A$3,2),COLUMN()-COLUMN($G$5)+1))=7</formula>
    </cfRule>
    <cfRule type="expression" dxfId="5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4229-6060-48EE-95FD-0D573AF73FA2}">
  <sheetPr codeName="Sheet9"/>
  <dimension ref="A1:BE31"/>
  <sheetViews>
    <sheetView tabSelected="1" topLeftCell="A3" zoomScale="110" zoomScaleNormal="110" workbookViewId="0">
      <selection activeCell="W16" sqref="W16"/>
    </sheetView>
  </sheetViews>
  <sheetFormatPr defaultColWidth="9" defaultRowHeight="17.600000000000001" x14ac:dyDescent="0.55000000000000004"/>
  <cols>
    <col min="1" max="57" width="3.35546875" style="1" customWidth="1"/>
    <col min="58" max="16384" width="9" style="1"/>
  </cols>
  <sheetData>
    <row r="1" spans="1:57" ht="23.15" customHeight="1" x14ac:dyDescent="0.55000000000000004">
      <c r="A1" s="10" t="s">
        <v>39</v>
      </c>
      <c r="B1" s="11"/>
      <c r="C1" s="11"/>
      <c r="D1" s="11"/>
      <c r="E1" s="11"/>
      <c r="F1" s="11"/>
      <c r="G1" s="12"/>
      <c r="H1" s="4" t="s">
        <v>0</v>
      </c>
      <c r="I1" s="4"/>
      <c r="J1" s="4"/>
      <c r="K1" s="5" t="str">
        <f>TEXT(DATE(LEFT(A3,4),RIGHT(A3,2),1),"yyyy""년"" mm""월"" dd""일""")  &amp; "부터" &amp; CHAR(10) &amp; TEXT(EOMONTH(DATE(LEFT(A3,4),RIGHT(A3,2),1),0),"yyyy""년"" mm""월"" dd""일""") &amp; "까지"</f>
        <v>2026년 02월 01일부터
2026년 02월 28일까지</v>
      </c>
      <c r="L1" s="6"/>
      <c r="M1" s="6"/>
      <c r="N1" s="6"/>
      <c r="O1" s="6"/>
      <c r="P1" s="6"/>
      <c r="Q1" s="6"/>
      <c r="R1" s="6"/>
      <c r="S1" s="6"/>
      <c r="T1" s="6"/>
      <c r="U1" s="6"/>
      <c r="V1" s="4" t="s">
        <v>1</v>
      </c>
      <c r="W1" s="4"/>
      <c r="X1" s="4"/>
      <c r="Y1" s="4"/>
      <c r="Z1" s="4"/>
      <c r="AA1" s="4" t="s">
        <v>4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3.15" customHeight="1" x14ac:dyDescent="0.55000000000000004">
      <c r="A2" s="13"/>
      <c r="B2" s="14"/>
      <c r="C2" s="14"/>
      <c r="D2" s="14"/>
      <c r="E2" s="14"/>
      <c r="F2" s="14"/>
      <c r="G2" s="15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 t="s">
        <v>2</v>
      </c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 ht="23.15" customHeight="1" x14ac:dyDescent="0.55000000000000004">
      <c r="A3" s="16" t="s">
        <v>40</v>
      </c>
      <c r="B3" s="17"/>
      <c r="C3" s="17"/>
      <c r="D3" s="17"/>
      <c r="E3" s="17"/>
      <c r="F3" s="17"/>
      <c r="G3" s="18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" t="s">
        <v>3</v>
      </c>
      <c r="W3" s="4"/>
      <c r="X3" s="4"/>
      <c r="Y3" s="4"/>
      <c r="Z3" s="4"/>
      <c r="AA3" s="4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 ht="23.15" customHeight="1" x14ac:dyDescent="0.55000000000000004">
      <c r="A4" s="4" t="s">
        <v>7</v>
      </c>
      <c r="B4" s="4"/>
      <c r="C4" s="4" t="s">
        <v>8</v>
      </c>
      <c r="D4" s="4"/>
      <c r="E4" s="4" t="s">
        <v>9</v>
      </c>
      <c r="F4" s="4"/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8" t="s">
        <v>15</v>
      </c>
      <c r="AQ4" s="8"/>
      <c r="AR4" s="9" t="s">
        <v>14</v>
      </c>
      <c r="AS4" s="9"/>
      <c r="AT4" s="9" t="s">
        <v>16</v>
      </c>
      <c r="AU4" s="9"/>
      <c r="AV4" s="9" t="s">
        <v>17</v>
      </c>
      <c r="AW4" s="9"/>
      <c r="AX4" s="9" t="s">
        <v>18</v>
      </c>
      <c r="AY4" s="9"/>
      <c r="AZ4" s="9" t="s">
        <v>19</v>
      </c>
      <c r="BA4" s="9"/>
      <c r="BB4" s="9" t="s">
        <v>20</v>
      </c>
      <c r="BC4" s="9"/>
      <c r="BD4" s="9" t="s">
        <v>21</v>
      </c>
      <c r="BE4" s="9"/>
    </row>
    <row r="5" spans="1:57" ht="23.15" customHeight="1" x14ac:dyDescent="0.55000000000000004">
      <c r="A5" s="4"/>
      <c r="B5" s="4"/>
      <c r="C5" s="4"/>
      <c r="D5" s="4"/>
      <c r="E5" s="4"/>
      <c r="F5" s="4"/>
      <c r="G5" s="19" cm="1">
        <f t="array" ref="G5:AK5">_xlfn.LET(
    _xlpm.y, LEFT($A$3,4),
    _xlpm.m, RIGHT($A$3,2),
    _xlpm.d, _xlfn.SEQUENCE(1,31,1,1),
    _xlpm.date, DATE(_xlpm.y, _xlpm.m, _xlpm.d),
    IF(_xlpm.d&lt;=DAY(EOMONTH(DATE(_xlpm.y,_xlpm.m,1),0)), _xlpm.date, "")
)</f>
        <v>46054</v>
      </c>
      <c r="H5" s="19">
        <v>46055</v>
      </c>
      <c r="I5" s="19">
        <v>46056</v>
      </c>
      <c r="J5" s="19">
        <v>46057</v>
      </c>
      <c r="K5" s="19">
        <v>46058</v>
      </c>
      <c r="L5" s="19">
        <v>46059</v>
      </c>
      <c r="M5" s="19">
        <v>46060</v>
      </c>
      <c r="N5" s="19">
        <v>46061</v>
      </c>
      <c r="O5" s="19">
        <v>46062</v>
      </c>
      <c r="P5" s="19">
        <v>46063</v>
      </c>
      <c r="Q5" s="19">
        <v>46064</v>
      </c>
      <c r="R5" s="19">
        <v>46065</v>
      </c>
      <c r="S5" s="19">
        <v>46066</v>
      </c>
      <c r="T5" s="19">
        <v>46067</v>
      </c>
      <c r="U5" s="19">
        <v>46068</v>
      </c>
      <c r="V5" s="19">
        <v>46069</v>
      </c>
      <c r="W5" s="19">
        <v>46070</v>
      </c>
      <c r="X5" s="19">
        <v>46071</v>
      </c>
      <c r="Y5" s="19">
        <v>46072</v>
      </c>
      <c r="Z5" s="19">
        <v>46073</v>
      </c>
      <c r="AA5" s="19">
        <v>46074</v>
      </c>
      <c r="AB5" s="19">
        <v>46075</v>
      </c>
      <c r="AC5" s="19">
        <v>46076</v>
      </c>
      <c r="AD5" s="19">
        <v>46077</v>
      </c>
      <c r="AE5" s="19">
        <v>46078</v>
      </c>
      <c r="AF5" s="19">
        <v>46079</v>
      </c>
      <c r="AG5" s="19">
        <v>46080</v>
      </c>
      <c r="AH5" s="19">
        <v>46081</v>
      </c>
      <c r="AI5" s="19" t="str">
        <v/>
      </c>
      <c r="AJ5" s="19" t="str">
        <v/>
      </c>
      <c r="AK5" s="2" t="str">
        <v/>
      </c>
      <c r="AL5" s="4" t="s">
        <v>10</v>
      </c>
      <c r="AM5" s="4"/>
      <c r="AN5" s="4" t="s">
        <v>11</v>
      </c>
      <c r="AO5" s="4"/>
      <c r="AP5" s="8"/>
      <c r="AQ5" s="8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</row>
    <row r="6" spans="1:57" ht="23.15" customHeight="1" x14ac:dyDescent="0.55000000000000004">
      <c r="A6" s="4">
        <f>ROW()-5</f>
        <v>1</v>
      </c>
      <c r="B6" s="4"/>
      <c r="C6" s="4" t="s">
        <v>22</v>
      </c>
      <c r="D6" s="4"/>
      <c r="E6" s="4"/>
      <c r="F6" s="4"/>
      <c r="G6" s="2">
        <f>IF(만두건설!G6+만두토목!G6+홍천서석!G6+사창리!G6+대원건설!G6+정윤일!G6+비고1!G6+비고2!G6&gt;0,만두건설!G6+만두토목!G6+홍천서석!G6+사창리!G6+대원건설!G6+정윤일!G6+비고1!G6+비고2!G6,"")</f>
        <v>1</v>
      </c>
      <c r="H6" s="2">
        <f>IF(만두건설!H6+만두토목!H6+홍천서석!H6+사창리!H6+대원건설!H6+정윤일!H6+비고1!H6+비고2!H6&gt;0,만두건설!H6+만두토목!H6+홍천서석!H6+사창리!H6+대원건설!H6+정윤일!H6+비고1!H6+비고2!H6,"")</f>
        <v>1</v>
      </c>
      <c r="I6" s="2">
        <f>IF(만두건설!I6+만두토목!I6+홍천서석!I6+사창리!I6+대원건설!I6+정윤일!I6+비고1!I6+비고2!I6&gt;0,만두건설!I6+만두토목!I6+홍천서석!I6+사창리!I6+대원건설!I6+정윤일!I6+비고1!I6+비고2!I6,"")</f>
        <v>1</v>
      </c>
      <c r="J6" s="2">
        <f>IF(만두건설!J6+만두토목!J6+홍천서석!J6+사창리!J6+대원건설!J6+정윤일!J6+비고1!J6+비고2!J6&gt;0,만두건설!J6+만두토목!J6+홍천서석!J6+사창리!J6+대원건설!J6+정윤일!J6+비고1!J6+비고2!J6,"")</f>
        <v>1</v>
      </c>
      <c r="K6" s="2">
        <f>IF(만두건설!K6+만두토목!K6+홍천서석!K6+사창리!K6+대원건설!K6+정윤일!K6+비고1!K6+비고2!K6&gt;0,만두건설!K6+만두토목!K6+홍천서석!K6+사창리!K6+대원건설!K6+정윤일!K6+비고1!K6+비고2!K6,"")</f>
        <v>1</v>
      </c>
      <c r="L6" s="2">
        <f>IF(만두건설!L6+만두토목!L6+홍천서석!L6+사창리!L6+대원건설!L6+정윤일!L6+비고1!L6+비고2!L6&gt;0,만두건설!L6+만두토목!L6+홍천서석!L6+사창리!L6+대원건설!L6+정윤일!L6+비고1!L6+비고2!L6,"")</f>
        <v>1</v>
      </c>
      <c r="M6" s="2">
        <f>IF(만두건설!M6+만두토목!M6+홍천서석!M6+사창리!M6+대원건설!M6+정윤일!M6+비고1!M6+비고2!M6&gt;0,만두건설!M6+만두토목!M6+홍천서석!M6+사창리!M6+대원건설!M6+정윤일!M6+비고1!M6+비고2!M6,"")</f>
        <v>1</v>
      </c>
      <c r="N6" s="2">
        <f>IF(만두건설!N6+만두토목!N6+홍천서석!N6+사창리!N6+대원건설!N6+정윤일!N6+비고1!N6+비고2!N6&gt;0,만두건설!N6+만두토목!N6+홍천서석!N6+사창리!N6+대원건설!N6+정윤일!N6+비고1!N6+비고2!N6,"")</f>
        <v>1</v>
      </c>
      <c r="O6" s="2">
        <f>IF(만두건설!O6+만두토목!O6+홍천서석!O6+사창리!O6+대원건설!O6+정윤일!O6+비고1!O6+비고2!O6&gt;0,만두건설!O6+만두토목!O6+홍천서석!O6+사창리!O6+대원건설!O6+정윤일!O6+비고1!O6+비고2!O6,"")</f>
        <v>1</v>
      </c>
      <c r="P6" s="2">
        <f>IF(만두건설!P6+만두토목!P6+홍천서석!P6+사창리!P6+대원건설!P6+정윤일!P6+비고1!P6+비고2!P6&gt;0,만두건설!P6+만두토목!P6+홍천서석!P6+사창리!P6+대원건설!P6+정윤일!P6+비고1!P6+비고2!P6,"")</f>
        <v>1</v>
      </c>
      <c r="Q6" s="2">
        <f>IF(만두건설!Q6+만두토목!Q6+홍천서석!Q6+사창리!Q6+대원건설!Q6+정윤일!Q6+비고1!Q6+비고2!Q6&gt;0,만두건설!Q6+만두토목!Q6+홍천서석!Q6+사창리!Q6+대원건설!Q6+정윤일!Q6+비고1!Q6+비고2!Q6,"")</f>
        <v>1</v>
      </c>
      <c r="R6" s="2">
        <f>IF(만두건설!R6+만두토목!R6+홍천서석!R6+사창리!R6+대원건설!R6+정윤일!R6+비고1!R6+비고2!R6&gt;0,만두건설!R6+만두토목!R6+홍천서석!R6+사창리!R6+대원건설!R6+정윤일!R6+비고1!R6+비고2!R6,"")</f>
        <v>1</v>
      </c>
      <c r="S6" s="2">
        <f>IF(만두건설!S6+만두토목!S6+홍천서석!S6+사창리!S6+대원건설!S6+정윤일!S6+비고1!S6+비고2!S6&gt;0,만두건설!S6+만두토목!S6+홍천서석!S6+사창리!S6+대원건설!S6+정윤일!S6+비고1!S6+비고2!S6,"")</f>
        <v>1</v>
      </c>
      <c r="T6" s="2">
        <f>IF(만두건설!T6+만두토목!T6+홍천서석!T6+사창리!T6+대원건설!T6+정윤일!T6+비고1!T6+비고2!T6&gt;0,만두건설!T6+만두토목!T6+홍천서석!T6+사창리!T6+대원건설!T6+정윤일!T6+비고1!T6+비고2!T6,"")</f>
        <v>1</v>
      </c>
      <c r="U6" s="2">
        <f>IF(만두건설!U6+만두토목!U6+홍천서석!U6+사창리!U6+대원건설!U6+정윤일!U6+비고1!U6+비고2!U6&gt;0,만두건설!U6+만두토목!U6+홍천서석!U6+사창리!U6+대원건설!U6+정윤일!U6+비고1!U6+비고2!U6,"")</f>
        <v>1</v>
      </c>
      <c r="V6" s="2">
        <f>IF(만두건설!V6+만두토목!V6+홍천서석!V6+사창리!V6+대원건설!V6+정윤일!V6+비고1!V6+비고2!V6&gt;0,만두건설!V6+만두토목!V6+홍천서석!V6+사창리!V6+대원건설!V6+정윤일!V6+비고1!V6+비고2!V6,"")</f>
        <v>1</v>
      </c>
      <c r="W6" s="2">
        <f>IF(만두건설!W6+만두토목!W6+홍천서석!W6+사창리!W6+대원건설!W6+정윤일!W6+비고1!W6+비고2!W6&gt;0,만두건설!W6+만두토목!W6+홍천서석!W6+사창리!W6+대원건설!W6+정윤일!W6+비고1!W6+비고2!W6,"")</f>
        <v>1</v>
      </c>
      <c r="X6" s="2">
        <f>IF(만두건설!X6+만두토목!X6+홍천서석!X6+사창리!X6+대원건설!X6+정윤일!X6+비고1!X6+비고2!X6&gt;0,만두건설!X6+만두토목!X6+홍천서석!X6+사창리!X6+대원건설!X6+정윤일!X6+비고1!X6+비고2!X6,"")</f>
        <v>1</v>
      </c>
      <c r="Y6" s="2">
        <f>IF(만두건설!Y6+만두토목!Y6+홍천서석!Y6+사창리!Y6+대원건설!Y6+정윤일!Y6+비고1!Y6+비고2!Y6&gt;0,만두건설!Y6+만두토목!Y6+홍천서석!Y6+사창리!Y6+대원건설!Y6+정윤일!Y6+비고1!Y6+비고2!Y6,"")</f>
        <v>1</v>
      </c>
      <c r="Z6" s="2">
        <f>IF(만두건설!Z6+만두토목!Z6+홍천서석!Z6+사창리!Z6+대원건설!Z6+정윤일!Z6+비고1!Z6+비고2!Z6&gt;0,만두건설!Z6+만두토목!Z6+홍천서석!Z6+사창리!Z6+대원건설!Z6+정윤일!Z6+비고1!Z6+비고2!Z6,"")</f>
        <v>1</v>
      </c>
      <c r="AA6" s="2">
        <f>IF(만두건설!AA6+만두토목!AA6+홍천서석!AA6+사창리!AA6+대원건설!AA6+정윤일!AA6+비고1!AA6+비고2!AA6&gt;0,만두건설!AA6+만두토목!AA6+홍천서석!AA6+사창리!AA6+대원건설!AA6+정윤일!AA6+비고1!AA6+비고2!AA6,"")</f>
        <v>1</v>
      </c>
      <c r="AB6" s="2">
        <f>IF(만두건설!AB6+만두토목!AB6+홍천서석!AB6+사창리!AB6+대원건설!AB6+정윤일!AB6+비고1!AB6+비고2!AB6&gt;0,만두건설!AB6+만두토목!AB6+홍천서석!AB6+사창리!AB6+대원건설!AB6+정윤일!AB6+비고1!AB6+비고2!AB6,"")</f>
        <v>1</v>
      </c>
      <c r="AC6" s="2">
        <f>IF(만두건설!AC6+만두토목!AC6+홍천서석!AC6+사창리!AC6+대원건설!AC6+정윤일!AC6+비고1!AC6+비고2!AC6&gt;0,만두건설!AC6+만두토목!AC6+홍천서석!AC6+사창리!AC6+대원건설!AC6+정윤일!AC6+비고1!AC6+비고2!AC6,"")</f>
        <v>1</v>
      </c>
      <c r="AD6" s="2">
        <f>IF(만두건설!AD6+만두토목!AD6+홍천서석!AD6+사창리!AD6+대원건설!AD6+정윤일!AD6+비고1!AD6+비고2!AD6&gt;0,만두건설!AD6+만두토목!AD6+홍천서석!AD6+사창리!AD6+대원건설!AD6+정윤일!AD6+비고1!AD6+비고2!AD6,"")</f>
        <v>1</v>
      </c>
      <c r="AE6" s="2">
        <f>IF(만두건설!AE6+만두토목!AE6+홍천서석!AE6+사창리!AE6+대원건설!AE6+정윤일!AE6+비고1!AE6+비고2!AE6&gt;0,만두건설!AE6+만두토목!AE6+홍천서석!AE6+사창리!AE6+대원건설!AE6+정윤일!AE6+비고1!AE6+비고2!AE6,"")</f>
        <v>1</v>
      </c>
      <c r="AF6" s="2">
        <f>IF(만두건설!AF6+만두토목!AF6+홍천서석!AF6+사창리!AF6+대원건설!AF6+정윤일!AF6+비고1!AF6+비고2!AF6&gt;0,만두건설!AF6+만두토목!AF6+홍천서석!AF6+사창리!AF6+대원건설!AF6+정윤일!AF6+비고1!AF6+비고2!AF6,"")</f>
        <v>1</v>
      </c>
      <c r="AG6" s="2">
        <f>IF(만두건설!AG6+만두토목!AG6+홍천서석!AG6+사창리!AG6+대원건설!AG6+정윤일!AG6+비고1!AG6+비고2!AG6&gt;0,만두건설!AG6+만두토목!AG6+홍천서석!AG6+사창리!AG6+대원건설!AG6+정윤일!AG6+비고1!AG6+비고2!AG6,"")</f>
        <v>1</v>
      </c>
      <c r="AH6" s="2">
        <f>IF(만두건설!AH6+만두토목!AH6+홍천서석!AH6+사창리!AH6+대원건설!AH6+정윤일!AH6+비고1!AH6+비고2!AH6&gt;0,만두건설!AH6+만두토목!AH6+홍천서석!AH6+사창리!AH6+대원건설!AH6+정윤일!AH6+비고1!AH6+비고2!AH6,"")</f>
        <v>1</v>
      </c>
      <c r="AI6" s="2" t="str">
        <f>IF(만두건설!AI6+만두토목!AI6+홍천서석!AI6+사창리!AI6+대원건설!AI6+정윤일!AI6+비고1!AI6+비고2!AI6&gt;0,만두건설!AI6+만두토목!AI6+홍천서석!AI6+사창리!AI6+대원건설!AI6+정윤일!AI6+비고1!AI6+비고2!AI6,"")</f>
        <v/>
      </c>
      <c r="AJ6" s="2" t="str">
        <f>IF(만두건설!AJ6+만두토목!AJ6+홍천서석!AJ6+사창리!AJ6+대원건설!AJ6+정윤일!AJ6+비고1!AJ6+비고2!AJ6&gt;0,만두건설!AJ6+만두토목!AJ6+홍천서석!AJ6+사창리!AJ6+대원건설!AJ6+정윤일!AJ6+비고1!AJ6+비고2!AJ6,"")</f>
        <v/>
      </c>
      <c r="AK6" s="2" t="str">
        <f>IF(만두건설!AK6+만두토목!AK6+홍천서석!AK6+사창리!AK6+대원건설!AK6+정윤일!AK6+비고1!AK6+비고2!AK6&gt;0,만두건설!AK6+만두토목!AK6+홍천서석!AK6+사창리!AK6+대원건설!AK6+정윤일!AK6+비고1!AK6+비고2!AK6,"")</f>
        <v/>
      </c>
      <c r="AL6" s="4">
        <f>IF(SUM(G6:AK6)&gt;0,SUM(G6:AK6),"")</f>
        <v>28</v>
      </c>
      <c r="AM6" s="4"/>
      <c r="AN6" s="4">
        <f>(COUNT(G6:AK6))</f>
        <v>28</v>
      </c>
      <c r="AO6" s="4"/>
      <c r="AP6" s="7">
        <f>IF(만두건설!AL6&gt;0,만두건설!AL6,"")</f>
        <v>28</v>
      </c>
      <c r="AQ6" s="7"/>
      <c r="AR6" s="7" t="str">
        <f>IF(만두토목!AL6&gt;0,만두토목!AL6,"")</f>
        <v/>
      </c>
      <c r="AS6" s="7"/>
      <c r="AT6" s="7" t="str">
        <f>IF(홍천서석!AL6&gt;0,홍천서석!AL6,"")</f>
        <v/>
      </c>
      <c r="AU6" s="7"/>
      <c r="AV6" s="7" t="str">
        <f>IF(사창리!AL6&gt;0,사창리!AL6,"")</f>
        <v/>
      </c>
      <c r="AW6" s="7"/>
      <c r="AX6" s="7" t="str">
        <f>IF(대원건설!AL6&gt;0,대원건설!AL6,"")</f>
        <v/>
      </c>
      <c r="AY6" s="7"/>
      <c r="AZ6" s="7" t="str">
        <f>IF(정윤일!AL6&gt;0,정윤일!AL6,"")</f>
        <v/>
      </c>
      <c r="BA6" s="7"/>
      <c r="BB6" s="7" t="str">
        <f>IF(비고1!AL6&gt;0,비고1!AL6,"")</f>
        <v/>
      </c>
      <c r="BC6" s="7"/>
      <c r="BD6" s="7" t="str">
        <f>IF(비고2!AL6&gt;0,비고2!AL6,"")</f>
        <v/>
      </c>
      <c r="BE6" s="7"/>
    </row>
    <row r="7" spans="1:57" ht="23.15" customHeight="1" x14ac:dyDescent="0.55000000000000004">
      <c r="A7" s="4">
        <f t="shared" ref="A7:A30" si="0">ROW()-5</f>
        <v>2</v>
      </c>
      <c r="B7" s="4"/>
      <c r="C7" s="4" t="s">
        <v>23</v>
      </c>
      <c r="D7" s="4"/>
      <c r="E7" s="4"/>
      <c r="F7" s="4"/>
      <c r="G7" s="2">
        <f>IF(만두건설!G7+만두토목!G7+홍천서석!G7+사창리!G7+대원건설!G7+정윤일!G7+비고1!G7+비고2!G7&gt;0,만두건설!G7+만두토목!G7+홍천서석!G7+사창리!G7+대원건설!G7+정윤일!G7+비고1!G7+비고2!G7,"")</f>
        <v>1</v>
      </c>
      <c r="H7" s="2">
        <f>IF(만두건설!H7+만두토목!H7+홍천서석!H7+사창리!H7+대원건설!H7+정윤일!H7+비고1!H7+비고2!H7&gt;0,만두건설!H7+만두토목!H7+홍천서석!H7+사창리!H7+대원건설!H7+정윤일!H7+비고1!H7+비고2!H7,"")</f>
        <v>1</v>
      </c>
      <c r="I7" s="2">
        <f>IF(만두건설!I7+만두토목!I7+홍천서석!I7+사창리!I7+대원건설!I7+정윤일!I7+비고1!I7+비고2!I7&gt;0,만두건설!I7+만두토목!I7+홍천서석!I7+사창리!I7+대원건설!I7+정윤일!I7+비고1!I7+비고2!I7,"")</f>
        <v>1</v>
      </c>
      <c r="J7" s="2">
        <f>IF(만두건설!J7+만두토목!J7+홍천서석!J7+사창리!J7+대원건설!J7+정윤일!J7+비고1!J7+비고2!J7&gt;0,만두건설!J7+만두토목!J7+홍천서석!J7+사창리!J7+대원건설!J7+정윤일!J7+비고1!J7+비고2!J7,"")</f>
        <v>1</v>
      </c>
      <c r="K7" s="2">
        <f>IF(만두건설!K7+만두토목!K7+홍천서석!K7+사창리!K7+대원건설!K7+정윤일!K7+비고1!K7+비고2!K7&gt;0,만두건설!K7+만두토목!K7+홍천서석!K7+사창리!K7+대원건설!K7+정윤일!K7+비고1!K7+비고2!K7,"")</f>
        <v>1</v>
      </c>
      <c r="L7" s="2">
        <f>IF(만두건설!L7+만두토목!L7+홍천서석!L7+사창리!L7+대원건설!L7+정윤일!L7+비고1!L7+비고2!L7&gt;0,만두건설!L7+만두토목!L7+홍천서석!L7+사창리!L7+대원건설!L7+정윤일!L7+비고1!L7+비고2!L7,"")</f>
        <v>1</v>
      </c>
      <c r="M7" s="2">
        <f>IF(만두건설!M7+만두토목!M7+홍천서석!M7+사창리!M7+대원건설!M7+정윤일!M7+비고1!M7+비고2!M7&gt;0,만두건설!M7+만두토목!M7+홍천서석!M7+사창리!M7+대원건설!M7+정윤일!M7+비고1!M7+비고2!M7,"")</f>
        <v>1</v>
      </c>
      <c r="N7" s="2">
        <f>IF(만두건설!N7+만두토목!N7+홍천서석!N7+사창리!N7+대원건설!N7+정윤일!N7+비고1!N7+비고2!N7&gt;0,만두건설!N7+만두토목!N7+홍천서석!N7+사창리!N7+대원건설!N7+정윤일!N7+비고1!N7+비고2!N7,"")</f>
        <v>1</v>
      </c>
      <c r="O7" s="2">
        <f>IF(만두건설!O7+만두토목!O7+홍천서석!O7+사창리!O7+대원건설!O7+정윤일!O7+비고1!O7+비고2!O7&gt;0,만두건설!O7+만두토목!O7+홍천서석!O7+사창리!O7+대원건설!O7+정윤일!O7+비고1!O7+비고2!O7,"")</f>
        <v>1</v>
      </c>
      <c r="P7" s="2">
        <f>IF(만두건설!P7+만두토목!P7+홍천서석!P7+사창리!P7+대원건설!P7+정윤일!P7+비고1!P7+비고2!P7&gt;0,만두건설!P7+만두토목!P7+홍천서석!P7+사창리!P7+대원건설!P7+정윤일!P7+비고1!P7+비고2!P7,"")</f>
        <v>1</v>
      </c>
      <c r="Q7" s="2">
        <f>IF(만두건설!Q7+만두토목!Q7+홍천서석!Q7+사창리!Q7+대원건설!Q7+정윤일!Q7+비고1!Q7+비고2!Q7&gt;0,만두건설!Q7+만두토목!Q7+홍천서석!Q7+사창리!Q7+대원건설!Q7+정윤일!Q7+비고1!Q7+비고2!Q7,"")</f>
        <v>1</v>
      </c>
      <c r="R7" s="2">
        <f>IF(만두건설!R7+만두토목!R7+홍천서석!R7+사창리!R7+대원건설!R7+정윤일!R7+비고1!R7+비고2!R7&gt;0,만두건설!R7+만두토목!R7+홍천서석!R7+사창리!R7+대원건설!R7+정윤일!R7+비고1!R7+비고2!R7,"")</f>
        <v>1</v>
      </c>
      <c r="S7" s="2">
        <f>IF(만두건설!S7+만두토목!S7+홍천서석!S7+사창리!S7+대원건설!S7+정윤일!S7+비고1!S7+비고2!S7&gt;0,만두건설!S7+만두토목!S7+홍천서석!S7+사창리!S7+대원건설!S7+정윤일!S7+비고1!S7+비고2!S7,"")</f>
        <v>1</v>
      </c>
      <c r="T7" s="2">
        <f>IF(만두건설!T7+만두토목!T7+홍천서석!T7+사창리!T7+대원건설!T7+정윤일!T7+비고1!T7+비고2!T7&gt;0,만두건설!T7+만두토목!T7+홍천서석!T7+사창리!T7+대원건설!T7+정윤일!T7+비고1!T7+비고2!T7,"")</f>
        <v>1</v>
      </c>
      <c r="U7" s="2">
        <f>IF(만두건설!U7+만두토목!U7+홍천서석!U7+사창리!U7+대원건설!U7+정윤일!U7+비고1!U7+비고2!U7&gt;0,만두건설!U7+만두토목!U7+홍천서석!U7+사창리!U7+대원건설!U7+정윤일!U7+비고1!U7+비고2!U7,"")</f>
        <v>1</v>
      </c>
      <c r="V7" s="2">
        <f>IF(만두건설!V7+만두토목!V7+홍천서석!V7+사창리!V7+대원건설!V7+정윤일!V7+비고1!V7+비고2!V7&gt;0,만두건설!V7+만두토목!V7+홍천서석!V7+사창리!V7+대원건설!V7+정윤일!V7+비고1!V7+비고2!V7,"")</f>
        <v>1</v>
      </c>
      <c r="W7" s="2">
        <f>IF(만두건설!W7+만두토목!W7+홍천서석!W7+사창리!W7+대원건설!W7+정윤일!W7+비고1!W7+비고2!W7&gt;0,만두건설!W7+만두토목!W7+홍천서석!W7+사창리!W7+대원건설!W7+정윤일!W7+비고1!W7+비고2!W7,"")</f>
        <v>1</v>
      </c>
      <c r="X7" s="2">
        <f>IF(만두건설!X7+만두토목!X7+홍천서석!X7+사창리!X7+대원건설!X7+정윤일!X7+비고1!X7+비고2!X7&gt;0,만두건설!X7+만두토목!X7+홍천서석!X7+사창리!X7+대원건설!X7+정윤일!X7+비고1!X7+비고2!X7,"")</f>
        <v>1</v>
      </c>
      <c r="Y7" s="2">
        <f>IF(만두건설!Y7+만두토목!Y7+홍천서석!Y7+사창리!Y7+대원건설!Y7+정윤일!Y7+비고1!Y7+비고2!Y7&gt;0,만두건설!Y7+만두토목!Y7+홍천서석!Y7+사창리!Y7+대원건설!Y7+정윤일!Y7+비고1!Y7+비고2!Y7,"")</f>
        <v>1</v>
      </c>
      <c r="Z7" s="2">
        <f>IF(만두건설!Z7+만두토목!Z7+홍천서석!Z7+사창리!Z7+대원건설!Z7+정윤일!Z7+비고1!Z7+비고2!Z7&gt;0,만두건설!Z7+만두토목!Z7+홍천서석!Z7+사창리!Z7+대원건설!Z7+정윤일!Z7+비고1!Z7+비고2!Z7,"")</f>
        <v>1</v>
      </c>
      <c r="AA7" s="2">
        <f>IF(만두건설!AA7+만두토목!AA7+홍천서석!AA7+사창리!AA7+대원건설!AA7+정윤일!AA7+비고1!AA7+비고2!AA7&gt;0,만두건설!AA7+만두토목!AA7+홍천서석!AA7+사창리!AA7+대원건설!AA7+정윤일!AA7+비고1!AA7+비고2!AA7,"")</f>
        <v>1</v>
      </c>
      <c r="AB7" s="2">
        <f>IF(만두건설!AB7+만두토목!AB7+홍천서석!AB7+사창리!AB7+대원건설!AB7+정윤일!AB7+비고1!AB7+비고2!AB7&gt;0,만두건설!AB7+만두토목!AB7+홍천서석!AB7+사창리!AB7+대원건설!AB7+정윤일!AB7+비고1!AB7+비고2!AB7,"")</f>
        <v>1</v>
      </c>
      <c r="AC7" s="2">
        <f>IF(만두건설!AC7+만두토목!AC7+홍천서석!AC7+사창리!AC7+대원건설!AC7+정윤일!AC7+비고1!AC7+비고2!AC7&gt;0,만두건설!AC7+만두토목!AC7+홍천서석!AC7+사창리!AC7+대원건설!AC7+정윤일!AC7+비고1!AC7+비고2!AC7,"")</f>
        <v>1</v>
      </c>
      <c r="AD7" s="2">
        <f>IF(만두건설!AD7+만두토목!AD7+홍천서석!AD7+사창리!AD7+대원건설!AD7+정윤일!AD7+비고1!AD7+비고2!AD7&gt;0,만두건설!AD7+만두토목!AD7+홍천서석!AD7+사창리!AD7+대원건설!AD7+정윤일!AD7+비고1!AD7+비고2!AD7,"")</f>
        <v>1</v>
      </c>
      <c r="AE7" s="2">
        <f>IF(만두건설!AE7+만두토목!AE7+홍천서석!AE7+사창리!AE7+대원건설!AE7+정윤일!AE7+비고1!AE7+비고2!AE7&gt;0,만두건설!AE7+만두토목!AE7+홍천서석!AE7+사창리!AE7+대원건설!AE7+정윤일!AE7+비고1!AE7+비고2!AE7,"")</f>
        <v>1</v>
      </c>
      <c r="AF7" s="2">
        <f>IF(만두건설!AF7+만두토목!AF7+홍천서석!AF7+사창리!AF7+대원건설!AF7+정윤일!AF7+비고1!AF7+비고2!AF7&gt;0,만두건설!AF7+만두토목!AF7+홍천서석!AF7+사창리!AF7+대원건설!AF7+정윤일!AF7+비고1!AF7+비고2!AF7,"")</f>
        <v>1</v>
      </c>
      <c r="AG7" s="2">
        <f>IF(만두건설!AG7+만두토목!AG7+홍천서석!AG7+사창리!AG7+대원건설!AG7+정윤일!AG7+비고1!AG7+비고2!AG7&gt;0,만두건설!AG7+만두토목!AG7+홍천서석!AG7+사창리!AG7+대원건설!AG7+정윤일!AG7+비고1!AG7+비고2!AG7,"")</f>
        <v>1</v>
      </c>
      <c r="AH7" s="2">
        <f>IF(만두건설!AH7+만두토목!AH7+홍천서석!AH7+사창리!AH7+대원건설!AH7+정윤일!AH7+비고1!AH7+비고2!AH7&gt;0,만두건설!AH7+만두토목!AH7+홍천서석!AH7+사창리!AH7+대원건설!AH7+정윤일!AH7+비고1!AH7+비고2!AH7,"")</f>
        <v>1</v>
      </c>
      <c r="AI7" s="2" t="str">
        <f>IF(만두건설!AI7+만두토목!AI7+홍천서석!AI7+사창리!AI7+대원건설!AI7+정윤일!AI7+비고1!AI7+비고2!AI7&gt;0,만두건설!AI7+만두토목!AI7+홍천서석!AI7+사창리!AI7+대원건설!AI7+정윤일!AI7+비고1!AI7+비고2!AI7,"")</f>
        <v/>
      </c>
      <c r="AJ7" s="2" t="str">
        <f>IF(만두건설!AJ7+만두토목!AJ7+홍천서석!AJ7+사창리!AJ7+대원건설!AJ7+정윤일!AJ7+비고1!AJ7+비고2!AJ7&gt;0,만두건설!AJ7+만두토목!AJ7+홍천서석!AJ7+사창리!AJ7+대원건설!AJ7+정윤일!AJ7+비고1!AJ7+비고2!AJ7,"")</f>
        <v/>
      </c>
      <c r="AK7" s="2" t="str">
        <f>IF(만두건설!AK7+만두토목!AK7+홍천서석!AK7+사창리!AK7+대원건설!AK7+정윤일!AK7+비고1!AK7+비고2!AK7&gt;0,만두건설!AK7+만두토목!AK7+홍천서석!AK7+사창리!AK7+대원건설!AK7+정윤일!AK7+비고1!AK7+비고2!AK7,"")</f>
        <v/>
      </c>
      <c r="AL7" s="4">
        <f t="shared" ref="AL7:AL30" si="1">IF(SUM(G7:AK7)&gt;0,SUM(G7:AK7),"")</f>
        <v>28</v>
      </c>
      <c r="AM7" s="4"/>
      <c r="AN7" s="4">
        <f t="shared" ref="AN7:AN30" si="2">(COUNT(G7:AK7))</f>
        <v>28</v>
      </c>
      <c r="AO7" s="4"/>
      <c r="AP7" s="7" t="str">
        <f>IF(만두건설!AL7&gt;0,만두건설!AL7,"")</f>
        <v/>
      </c>
      <c r="AQ7" s="7"/>
      <c r="AR7" s="7">
        <f>IF(만두토목!AL7&gt;0,만두토목!AL7,"")</f>
        <v>28</v>
      </c>
      <c r="AS7" s="7"/>
      <c r="AT7" s="7" t="str">
        <f>IF(홍천서석!AL7&gt;0,홍천서석!AL7,"")</f>
        <v/>
      </c>
      <c r="AU7" s="7"/>
      <c r="AV7" s="7" t="str">
        <f>IF(사창리!AL7&gt;0,사창리!AL7,"")</f>
        <v/>
      </c>
      <c r="AW7" s="7"/>
      <c r="AX7" s="7" t="str">
        <f>IF(대원건설!AL7&gt;0,대원건설!AL7,"")</f>
        <v/>
      </c>
      <c r="AY7" s="7"/>
      <c r="AZ7" s="7" t="str">
        <f>IF(정윤일!AL7&gt;0,정윤일!AL7,"")</f>
        <v/>
      </c>
      <c r="BA7" s="7"/>
      <c r="BB7" s="7" t="str">
        <f>IF(비고1!AL7&gt;0,비고1!AL7,"")</f>
        <v/>
      </c>
      <c r="BC7" s="7"/>
      <c r="BD7" s="7" t="str">
        <f>IF(비고2!AL7&gt;0,비고2!AL7,"")</f>
        <v/>
      </c>
      <c r="BE7" s="7"/>
    </row>
    <row r="8" spans="1:57" ht="23.15" customHeight="1" x14ac:dyDescent="0.55000000000000004">
      <c r="A8" s="4">
        <f t="shared" si="0"/>
        <v>3</v>
      </c>
      <c r="B8" s="4"/>
      <c r="C8" s="4" t="s">
        <v>24</v>
      </c>
      <c r="D8" s="4"/>
      <c r="E8" s="4"/>
      <c r="F8" s="4"/>
      <c r="G8" s="2">
        <f>IF(만두건설!G8+만두토목!G8+홍천서석!G8+사창리!G8+대원건설!G8+정윤일!G8+비고1!G8+비고2!G8&gt;0,만두건설!G8+만두토목!G8+홍천서석!G8+사창리!G8+대원건설!G8+정윤일!G8+비고1!G8+비고2!G8,"")</f>
        <v>1</v>
      </c>
      <c r="H8" s="2">
        <f>IF(만두건설!H8+만두토목!H8+홍천서석!H8+사창리!H8+대원건설!H8+정윤일!H8+비고1!H8+비고2!H8&gt;0,만두건설!H8+만두토목!H8+홍천서석!H8+사창리!H8+대원건설!H8+정윤일!H8+비고1!H8+비고2!H8,"")</f>
        <v>1</v>
      </c>
      <c r="I8" s="2">
        <f>IF(만두건설!I8+만두토목!I8+홍천서석!I8+사창리!I8+대원건설!I8+정윤일!I8+비고1!I8+비고2!I8&gt;0,만두건설!I8+만두토목!I8+홍천서석!I8+사창리!I8+대원건설!I8+정윤일!I8+비고1!I8+비고2!I8,"")</f>
        <v>1</v>
      </c>
      <c r="J8" s="2">
        <f>IF(만두건설!J8+만두토목!J8+홍천서석!J8+사창리!J8+대원건설!J8+정윤일!J8+비고1!J8+비고2!J8&gt;0,만두건설!J8+만두토목!J8+홍천서석!J8+사창리!J8+대원건설!J8+정윤일!J8+비고1!J8+비고2!J8,"")</f>
        <v>1</v>
      </c>
      <c r="K8" s="2">
        <f>IF(만두건설!K8+만두토목!K8+홍천서석!K8+사창리!K8+대원건설!K8+정윤일!K8+비고1!K8+비고2!K8&gt;0,만두건설!K8+만두토목!K8+홍천서석!K8+사창리!K8+대원건설!K8+정윤일!K8+비고1!K8+비고2!K8,"")</f>
        <v>1</v>
      </c>
      <c r="L8" s="2">
        <f>IF(만두건설!L8+만두토목!L8+홍천서석!L8+사창리!L8+대원건설!L8+정윤일!L8+비고1!L8+비고2!L8&gt;0,만두건설!L8+만두토목!L8+홍천서석!L8+사창리!L8+대원건설!L8+정윤일!L8+비고1!L8+비고2!L8,"")</f>
        <v>1</v>
      </c>
      <c r="M8" s="2">
        <f>IF(만두건설!M8+만두토목!M8+홍천서석!M8+사창리!M8+대원건설!M8+정윤일!M8+비고1!M8+비고2!M8&gt;0,만두건설!M8+만두토목!M8+홍천서석!M8+사창리!M8+대원건설!M8+정윤일!M8+비고1!M8+비고2!M8,"")</f>
        <v>1</v>
      </c>
      <c r="N8" s="2">
        <f>IF(만두건설!N8+만두토목!N8+홍천서석!N8+사창리!N8+대원건설!N8+정윤일!N8+비고1!N8+비고2!N8&gt;0,만두건설!N8+만두토목!N8+홍천서석!N8+사창리!N8+대원건설!N8+정윤일!N8+비고1!N8+비고2!N8,"")</f>
        <v>1</v>
      </c>
      <c r="O8" s="2">
        <f>IF(만두건설!O8+만두토목!O8+홍천서석!O8+사창리!O8+대원건설!O8+정윤일!O8+비고1!O8+비고2!O8&gt;0,만두건설!O8+만두토목!O8+홍천서석!O8+사창리!O8+대원건설!O8+정윤일!O8+비고1!O8+비고2!O8,"")</f>
        <v>1</v>
      </c>
      <c r="P8" s="2">
        <f>IF(만두건설!P8+만두토목!P8+홍천서석!P8+사창리!P8+대원건설!P8+정윤일!P8+비고1!P8+비고2!P8&gt;0,만두건설!P8+만두토목!P8+홍천서석!P8+사창리!P8+대원건설!P8+정윤일!P8+비고1!P8+비고2!P8,"")</f>
        <v>1</v>
      </c>
      <c r="Q8" s="2">
        <f>IF(만두건설!Q8+만두토목!Q8+홍천서석!Q8+사창리!Q8+대원건설!Q8+정윤일!Q8+비고1!Q8+비고2!Q8&gt;0,만두건설!Q8+만두토목!Q8+홍천서석!Q8+사창리!Q8+대원건설!Q8+정윤일!Q8+비고1!Q8+비고2!Q8,"")</f>
        <v>1</v>
      </c>
      <c r="R8" s="2">
        <f>IF(만두건설!R8+만두토목!R8+홍천서석!R8+사창리!R8+대원건설!R8+정윤일!R8+비고1!R8+비고2!R8&gt;0,만두건설!R8+만두토목!R8+홍천서석!R8+사창리!R8+대원건설!R8+정윤일!R8+비고1!R8+비고2!R8,"")</f>
        <v>1</v>
      </c>
      <c r="S8" s="2">
        <f>IF(만두건설!S8+만두토목!S8+홍천서석!S8+사창리!S8+대원건설!S8+정윤일!S8+비고1!S8+비고2!S8&gt;0,만두건설!S8+만두토목!S8+홍천서석!S8+사창리!S8+대원건설!S8+정윤일!S8+비고1!S8+비고2!S8,"")</f>
        <v>1</v>
      </c>
      <c r="T8" s="2">
        <f>IF(만두건설!T8+만두토목!T8+홍천서석!T8+사창리!T8+대원건설!T8+정윤일!T8+비고1!T8+비고2!T8&gt;0,만두건설!T8+만두토목!T8+홍천서석!T8+사창리!T8+대원건설!T8+정윤일!T8+비고1!T8+비고2!T8,"")</f>
        <v>1</v>
      </c>
      <c r="U8" s="2">
        <f>IF(만두건설!U8+만두토목!U8+홍천서석!U8+사창리!U8+대원건설!U8+정윤일!U8+비고1!U8+비고2!U8&gt;0,만두건설!U8+만두토목!U8+홍천서석!U8+사창리!U8+대원건설!U8+정윤일!U8+비고1!U8+비고2!U8,"")</f>
        <v>1</v>
      </c>
      <c r="V8" s="2">
        <f>IF(만두건설!V8+만두토목!V8+홍천서석!V8+사창리!V8+대원건설!V8+정윤일!V8+비고1!V8+비고2!V8&gt;0,만두건설!V8+만두토목!V8+홍천서석!V8+사창리!V8+대원건설!V8+정윤일!V8+비고1!V8+비고2!V8,"")</f>
        <v>1</v>
      </c>
      <c r="W8" s="2">
        <f>IF(만두건설!W8+만두토목!W8+홍천서석!W8+사창리!W8+대원건설!W8+정윤일!W8+비고1!W8+비고2!W8&gt;0,만두건설!W8+만두토목!W8+홍천서석!W8+사창리!W8+대원건설!W8+정윤일!W8+비고1!W8+비고2!W8,"")</f>
        <v>1</v>
      </c>
      <c r="X8" s="2">
        <f>IF(만두건설!X8+만두토목!X8+홍천서석!X8+사창리!X8+대원건설!X8+정윤일!X8+비고1!X8+비고2!X8&gt;0,만두건설!X8+만두토목!X8+홍천서석!X8+사창리!X8+대원건설!X8+정윤일!X8+비고1!X8+비고2!X8,"")</f>
        <v>1</v>
      </c>
      <c r="Y8" s="2">
        <f>IF(만두건설!Y8+만두토목!Y8+홍천서석!Y8+사창리!Y8+대원건설!Y8+정윤일!Y8+비고1!Y8+비고2!Y8&gt;0,만두건설!Y8+만두토목!Y8+홍천서석!Y8+사창리!Y8+대원건설!Y8+정윤일!Y8+비고1!Y8+비고2!Y8,"")</f>
        <v>1</v>
      </c>
      <c r="Z8" s="2">
        <f>IF(만두건설!Z8+만두토목!Z8+홍천서석!Z8+사창리!Z8+대원건설!Z8+정윤일!Z8+비고1!Z8+비고2!Z8&gt;0,만두건설!Z8+만두토목!Z8+홍천서석!Z8+사창리!Z8+대원건설!Z8+정윤일!Z8+비고1!Z8+비고2!Z8,"")</f>
        <v>1</v>
      </c>
      <c r="AA8" s="2">
        <f>IF(만두건설!AA8+만두토목!AA8+홍천서석!AA8+사창리!AA8+대원건설!AA8+정윤일!AA8+비고1!AA8+비고2!AA8&gt;0,만두건설!AA8+만두토목!AA8+홍천서석!AA8+사창리!AA8+대원건설!AA8+정윤일!AA8+비고1!AA8+비고2!AA8,"")</f>
        <v>1</v>
      </c>
      <c r="AB8" s="2">
        <f>IF(만두건설!AB8+만두토목!AB8+홍천서석!AB8+사창리!AB8+대원건설!AB8+정윤일!AB8+비고1!AB8+비고2!AB8&gt;0,만두건설!AB8+만두토목!AB8+홍천서석!AB8+사창리!AB8+대원건설!AB8+정윤일!AB8+비고1!AB8+비고2!AB8,"")</f>
        <v>1</v>
      </c>
      <c r="AC8" s="2">
        <f>IF(만두건설!AC8+만두토목!AC8+홍천서석!AC8+사창리!AC8+대원건설!AC8+정윤일!AC8+비고1!AC8+비고2!AC8&gt;0,만두건설!AC8+만두토목!AC8+홍천서석!AC8+사창리!AC8+대원건설!AC8+정윤일!AC8+비고1!AC8+비고2!AC8,"")</f>
        <v>1</v>
      </c>
      <c r="AD8" s="2">
        <f>IF(만두건설!AD8+만두토목!AD8+홍천서석!AD8+사창리!AD8+대원건설!AD8+정윤일!AD8+비고1!AD8+비고2!AD8&gt;0,만두건설!AD8+만두토목!AD8+홍천서석!AD8+사창리!AD8+대원건설!AD8+정윤일!AD8+비고1!AD8+비고2!AD8,"")</f>
        <v>1</v>
      </c>
      <c r="AE8" s="2">
        <f>IF(만두건설!AE8+만두토목!AE8+홍천서석!AE8+사창리!AE8+대원건설!AE8+정윤일!AE8+비고1!AE8+비고2!AE8&gt;0,만두건설!AE8+만두토목!AE8+홍천서석!AE8+사창리!AE8+대원건설!AE8+정윤일!AE8+비고1!AE8+비고2!AE8,"")</f>
        <v>1</v>
      </c>
      <c r="AF8" s="2">
        <f>IF(만두건설!AF8+만두토목!AF8+홍천서석!AF8+사창리!AF8+대원건설!AF8+정윤일!AF8+비고1!AF8+비고2!AF8&gt;0,만두건설!AF8+만두토목!AF8+홍천서석!AF8+사창리!AF8+대원건설!AF8+정윤일!AF8+비고1!AF8+비고2!AF8,"")</f>
        <v>1</v>
      </c>
      <c r="AG8" s="2">
        <f>IF(만두건설!AG8+만두토목!AG8+홍천서석!AG8+사창리!AG8+대원건설!AG8+정윤일!AG8+비고1!AG8+비고2!AG8&gt;0,만두건설!AG8+만두토목!AG8+홍천서석!AG8+사창리!AG8+대원건설!AG8+정윤일!AG8+비고1!AG8+비고2!AG8,"")</f>
        <v>1</v>
      </c>
      <c r="AH8" s="2">
        <f>IF(만두건설!AH8+만두토목!AH8+홍천서석!AH8+사창리!AH8+대원건설!AH8+정윤일!AH8+비고1!AH8+비고2!AH8&gt;0,만두건설!AH8+만두토목!AH8+홍천서석!AH8+사창리!AH8+대원건설!AH8+정윤일!AH8+비고1!AH8+비고2!AH8,"")</f>
        <v>1</v>
      </c>
      <c r="AI8" s="2" t="str">
        <f>IF(만두건설!AI8+만두토목!AI8+홍천서석!AI8+사창리!AI8+대원건설!AI8+정윤일!AI8+비고1!AI8+비고2!AI8&gt;0,만두건설!AI8+만두토목!AI8+홍천서석!AI8+사창리!AI8+대원건설!AI8+정윤일!AI8+비고1!AI8+비고2!AI8,"")</f>
        <v/>
      </c>
      <c r="AJ8" s="2" t="str">
        <f>IF(만두건설!AJ8+만두토목!AJ8+홍천서석!AJ8+사창리!AJ8+대원건설!AJ8+정윤일!AJ8+비고1!AJ8+비고2!AJ8&gt;0,만두건설!AJ8+만두토목!AJ8+홍천서석!AJ8+사창리!AJ8+대원건설!AJ8+정윤일!AJ8+비고1!AJ8+비고2!AJ8,"")</f>
        <v/>
      </c>
      <c r="AK8" s="2" t="str">
        <f>IF(만두건설!AK8+만두토목!AK8+홍천서석!AK8+사창리!AK8+대원건설!AK8+정윤일!AK8+비고1!AK8+비고2!AK8&gt;0,만두건설!AK8+만두토목!AK8+홍천서석!AK8+사창리!AK8+대원건설!AK8+정윤일!AK8+비고1!AK8+비고2!AK8,"")</f>
        <v/>
      </c>
      <c r="AL8" s="4">
        <f t="shared" si="1"/>
        <v>28</v>
      </c>
      <c r="AM8" s="4"/>
      <c r="AN8" s="4">
        <f t="shared" si="2"/>
        <v>28</v>
      </c>
      <c r="AO8" s="4"/>
      <c r="AP8" s="7" t="str">
        <f>IF(만두건설!AL8&gt;0,만두건설!AL8,"")</f>
        <v/>
      </c>
      <c r="AQ8" s="7"/>
      <c r="AR8" s="7" t="str">
        <f>IF(만두토목!AL8&gt;0,만두토목!AL8,"")</f>
        <v/>
      </c>
      <c r="AS8" s="7"/>
      <c r="AT8" s="7">
        <f>IF(홍천서석!AL8&gt;0,홍천서석!AL8,"")</f>
        <v>28</v>
      </c>
      <c r="AU8" s="7"/>
      <c r="AV8" s="7" t="str">
        <f>IF(사창리!AL8&gt;0,사창리!AL8,"")</f>
        <v/>
      </c>
      <c r="AW8" s="7"/>
      <c r="AX8" s="7" t="str">
        <f>IF(대원건설!AL8&gt;0,대원건설!AL8,"")</f>
        <v/>
      </c>
      <c r="AY8" s="7"/>
      <c r="AZ8" s="7" t="str">
        <f>IF(정윤일!AL8&gt;0,정윤일!AL8,"")</f>
        <v/>
      </c>
      <c r="BA8" s="7"/>
      <c r="BB8" s="7" t="str">
        <f>IF(비고1!AL8&gt;0,비고1!AL8,"")</f>
        <v/>
      </c>
      <c r="BC8" s="7"/>
      <c r="BD8" s="7" t="str">
        <f>IF(비고2!AL8&gt;0,비고2!AL8,"")</f>
        <v/>
      </c>
      <c r="BE8" s="7"/>
    </row>
    <row r="9" spans="1:57" ht="23.15" customHeight="1" x14ac:dyDescent="0.55000000000000004">
      <c r="A9" s="4">
        <f t="shared" si="0"/>
        <v>4</v>
      </c>
      <c r="B9" s="4"/>
      <c r="C9" s="4" t="s">
        <v>25</v>
      </c>
      <c r="D9" s="4"/>
      <c r="E9" s="4"/>
      <c r="F9" s="4"/>
      <c r="G9" s="2">
        <f>IF(만두건설!G9+만두토목!G9+홍천서석!G9+사창리!G9+대원건설!G9+정윤일!G9+비고1!G9+비고2!G9&gt;0,만두건설!G9+만두토목!G9+홍천서석!G9+사창리!G9+대원건설!G9+정윤일!G9+비고1!G9+비고2!G9,"")</f>
        <v>1</v>
      </c>
      <c r="H9" s="2">
        <f>IF(만두건설!H9+만두토목!H9+홍천서석!H9+사창리!H9+대원건설!H9+정윤일!H9+비고1!H9+비고2!H9&gt;0,만두건설!H9+만두토목!H9+홍천서석!H9+사창리!H9+대원건설!H9+정윤일!H9+비고1!H9+비고2!H9,"")</f>
        <v>1</v>
      </c>
      <c r="I9" s="2">
        <f>IF(만두건설!I9+만두토목!I9+홍천서석!I9+사창리!I9+대원건설!I9+정윤일!I9+비고1!I9+비고2!I9&gt;0,만두건설!I9+만두토목!I9+홍천서석!I9+사창리!I9+대원건설!I9+정윤일!I9+비고1!I9+비고2!I9,"")</f>
        <v>1</v>
      </c>
      <c r="J9" s="2">
        <f>IF(만두건설!J9+만두토목!J9+홍천서석!J9+사창리!J9+대원건설!J9+정윤일!J9+비고1!J9+비고2!J9&gt;0,만두건설!J9+만두토목!J9+홍천서석!J9+사창리!J9+대원건설!J9+정윤일!J9+비고1!J9+비고2!J9,"")</f>
        <v>1</v>
      </c>
      <c r="K9" s="2">
        <f>IF(만두건설!K9+만두토목!K9+홍천서석!K9+사창리!K9+대원건설!K9+정윤일!K9+비고1!K9+비고2!K9&gt;0,만두건설!K9+만두토목!K9+홍천서석!K9+사창리!K9+대원건설!K9+정윤일!K9+비고1!K9+비고2!K9,"")</f>
        <v>1</v>
      </c>
      <c r="L9" s="2">
        <f>IF(만두건설!L9+만두토목!L9+홍천서석!L9+사창리!L9+대원건설!L9+정윤일!L9+비고1!L9+비고2!L9&gt;0,만두건설!L9+만두토목!L9+홍천서석!L9+사창리!L9+대원건설!L9+정윤일!L9+비고1!L9+비고2!L9,"")</f>
        <v>1</v>
      </c>
      <c r="M9" s="2">
        <f>IF(만두건설!M9+만두토목!M9+홍천서석!M9+사창리!M9+대원건설!M9+정윤일!M9+비고1!M9+비고2!M9&gt;0,만두건설!M9+만두토목!M9+홍천서석!M9+사창리!M9+대원건설!M9+정윤일!M9+비고1!M9+비고2!M9,"")</f>
        <v>1</v>
      </c>
      <c r="N9" s="2">
        <f>IF(만두건설!N9+만두토목!N9+홍천서석!N9+사창리!N9+대원건설!N9+정윤일!N9+비고1!N9+비고2!N9&gt;0,만두건설!N9+만두토목!N9+홍천서석!N9+사창리!N9+대원건설!N9+정윤일!N9+비고1!N9+비고2!N9,"")</f>
        <v>1</v>
      </c>
      <c r="O9" s="2">
        <f>IF(만두건설!O9+만두토목!O9+홍천서석!O9+사창리!O9+대원건설!O9+정윤일!O9+비고1!O9+비고2!O9&gt;0,만두건설!O9+만두토목!O9+홍천서석!O9+사창리!O9+대원건설!O9+정윤일!O9+비고1!O9+비고2!O9,"")</f>
        <v>1</v>
      </c>
      <c r="P9" s="2">
        <f>IF(만두건설!P9+만두토목!P9+홍천서석!P9+사창리!P9+대원건설!P9+정윤일!P9+비고1!P9+비고2!P9&gt;0,만두건설!P9+만두토목!P9+홍천서석!P9+사창리!P9+대원건설!P9+정윤일!P9+비고1!P9+비고2!P9,"")</f>
        <v>1</v>
      </c>
      <c r="Q9" s="2">
        <f>IF(만두건설!Q9+만두토목!Q9+홍천서석!Q9+사창리!Q9+대원건설!Q9+정윤일!Q9+비고1!Q9+비고2!Q9&gt;0,만두건설!Q9+만두토목!Q9+홍천서석!Q9+사창리!Q9+대원건설!Q9+정윤일!Q9+비고1!Q9+비고2!Q9,"")</f>
        <v>1</v>
      </c>
      <c r="R9" s="2">
        <f>IF(만두건설!R9+만두토목!R9+홍천서석!R9+사창리!R9+대원건설!R9+정윤일!R9+비고1!R9+비고2!R9&gt;0,만두건설!R9+만두토목!R9+홍천서석!R9+사창리!R9+대원건설!R9+정윤일!R9+비고1!R9+비고2!R9,"")</f>
        <v>1</v>
      </c>
      <c r="S9" s="2">
        <f>IF(만두건설!S9+만두토목!S9+홍천서석!S9+사창리!S9+대원건설!S9+정윤일!S9+비고1!S9+비고2!S9&gt;0,만두건설!S9+만두토목!S9+홍천서석!S9+사창리!S9+대원건설!S9+정윤일!S9+비고1!S9+비고2!S9,"")</f>
        <v>1</v>
      </c>
      <c r="T9" s="2">
        <f>IF(만두건설!T9+만두토목!T9+홍천서석!T9+사창리!T9+대원건설!T9+정윤일!T9+비고1!T9+비고2!T9&gt;0,만두건설!T9+만두토목!T9+홍천서석!T9+사창리!T9+대원건설!T9+정윤일!T9+비고1!T9+비고2!T9,"")</f>
        <v>1</v>
      </c>
      <c r="U9" s="2">
        <f>IF(만두건설!U9+만두토목!U9+홍천서석!U9+사창리!U9+대원건설!U9+정윤일!U9+비고1!U9+비고2!U9&gt;0,만두건설!U9+만두토목!U9+홍천서석!U9+사창리!U9+대원건설!U9+정윤일!U9+비고1!U9+비고2!U9,"")</f>
        <v>1</v>
      </c>
      <c r="V9" s="2">
        <f>IF(만두건설!V9+만두토목!V9+홍천서석!V9+사창리!V9+대원건설!V9+정윤일!V9+비고1!V9+비고2!V9&gt;0,만두건설!V9+만두토목!V9+홍천서석!V9+사창리!V9+대원건설!V9+정윤일!V9+비고1!V9+비고2!V9,"")</f>
        <v>1</v>
      </c>
      <c r="W9" s="2">
        <f>IF(만두건설!W9+만두토목!W9+홍천서석!W9+사창리!W9+대원건설!W9+정윤일!W9+비고1!W9+비고2!W9&gt;0,만두건설!W9+만두토목!W9+홍천서석!W9+사창리!W9+대원건설!W9+정윤일!W9+비고1!W9+비고2!W9,"")</f>
        <v>1</v>
      </c>
      <c r="X9" s="2">
        <f>IF(만두건설!X9+만두토목!X9+홍천서석!X9+사창리!X9+대원건설!X9+정윤일!X9+비고1!X9+비고2!X9&gt;0,만두건설!X9+만두토목!X9+홍천서석!X9+사창리!X9+대원건설!X9+정윤일!X9+비고1!X9+비고2!X9,"")</f>
        <v>1</v>
      </c>
      <c r="Y9" s="2">
        <f>IF(만두건설!Y9+만두토목!Y9+홍천서석!Y9+사창리!Y9+대원건설!Y9+정윤일!Y9+비고1!Y9+비고2!Y9&gt;0,만두건설!Y9+만두토목!Y9+홍천서석!Y9+사창리!Y9+대원건설!Y9+정윤일!Y9+비고1!Y9+비고2!Y9,"")</f>
        <v>1</v>
      </c>
      <c r="Z9" s="2">
        <f>IF(만두건설!Z9+만두토목!Z9+홍천서석!Z9+사창리!Z9+대원건설!Z9+정윤일!Z9+비고1!Z9+비고2!Z9&gt;0,만두건설!Z9+만두토목!Z9+홍천서석!Z9+사창리!Z9+대원건설!Z9+정윤일!Z9+비고1!Z9+비고2!Z9,"")</f>
        <v>1</v>
      </c>
      <c r="AA9" s="2">
        <f>IF(만두건설!AA9+만두토목!AA9+홍천서석!AA9+사창리!AA9+대원건설!AA9+정윤일!AA9+비고1!AA9+비고2!AA9&gt;0,만두건설!AA9+만두토목!AA9+홍천서석!AA9+사창리!AA9+대원건설!AA9+정윤일!AA9+비고1!AA9+비고2!AA9,"")</f>
        <v>1</v>
      </c>
      <c r="AB9" s="2">
        <f>IF(만두건설!AB9+만두토목!AB9+홍천서석!AB9+사창리!AB9+대원건설!AB9+정윤일!AB9+비고1!AB9+비고2!AB9&gt;0,만두건설!AB9+만두토목!AB9+홍천서석!AB9+사창리!AB9+대원건설!AB9+정윤일!AB9+비고1!AB9+비고2!AB9,"")</f>
        <v>1</v>
      </c>
      <c r="AC9" s="2">
        <f>IF(만두건설!AC9+만두토목!AC9+홍천서석!AC9+사창리!AC9+대원건설!AC9+정윤일!AC9+비고1!AC9+비고2!AC9&gt;0,만두건설!AC9+만두토목!AC9+홍천서석!AC9+사창리!AC9+대원건설!AC9+정윤일!AC9+비고1!AC9+비고2!AC9,"")</f>
        <v>1</v>
      </c>
      <c r="AD9" s="2">
        <f>IF(만두건설!AD9+만두토목!AD9+홍천서석!AD9+사창리!AD9+대원건설!AD9+정윤일!AD9+비고1!AD9+비고2!AD9&gt;0,만두건설!AD9+만두토목!AD9+홍천서석!AD9+사창리!AD9+대원건설!AD9+정윤일!AD9+비고1!AD9+비고2!AD9,"")</f>
        <v>1</v>
      </c>
      <c r="AE9" s="2">
        <f>IF(만두건설!AE9+만두토목!AE9+홍천서석!AE9+사창리!AE9+대원건설!AE9+정윤일!AE9+비고1!AE9+비고2!AE9&gt;0,만두건설!AE9+만두토목!AE9+홍천서석!AE9+사창리!AE9+대원건설!AE9+정윤일!AE9+비고1!AE9+비고2!AE9,"")</f>
        <v>1</v>
      </c>
      <c r="AF9" s="2">
        <f>IF(만두건설!AF9+만두토목!AF9+홍천서석!AF9+사창리!AF9+대원건설!AF9+정윤일!AF9+비고1!AF9+비고2!AF9&gt;0,만두건설!AF9+만두토목!AF9+홍천서석!AF9+사창리!AF9+대원건설!AF9+정윤일!AF9+비고1!AF9+비고2!AF9,"")</f>
        <v>1</v>
      </c>
      <c r="AG9" s="2">
        <f>IF(만두건설!AG9+만두토목!AG9+홍천서석!AG9+사창리!AG9+대원건설!AG9+정윤일!AG9+비고1!AG9+비고2!AG9&gt;0,만두건설!AG9+만두토목!AG9+홍천서석!AG9+사창리!AG9+대원건설!AG9+정윤일!AG9+비고1!AG9+비고2!AG9,"")</f>
        <v>1</v>
      </c>
      <c r="AH9" s="2">
        <f>IF(만두건설!AH9+만두토목!AH9+홍천서석!AH9+사창리!AH9+대원건설!AH9+정윤일!AH9+비고1!AH9+비고2!AH9&gt;0,만두건설!AH9+만두토목!AH9+홍천서석!AH9+사창리!AH9+대원건설!AH9+정윤일!AH9+비고1!AH9+비고2!AH9,"")</f>
        <v>1</v>
      </c>
      <c r="AI9" s="2" t="str">
        <f>IF(만두건설!AI9+만두토목!AI9+홍천서석!AI9+사창리!AI9+대원건설!AI9+정윤일!AI9+비고1!AI9+비고2!AI9&gt;0,만두건설!AI9+만두토목!AI9+홍천서석!AI9+사창리!AI9+대원건설!AI9+정윤일!AI9+비고1!AI9+비고2!AI9,"")</f>
        <v/>
      </c>
      <c r="AJ9" s="2" t="str">
        <f>IF(만두건설!AJ9+만두토목!AJ9+홍천서석!AJ9+사창리!AJ9+대원건설!AJ9+정윤일!AJ9+비고1!AJ9+비고2!AJ9&gt;0,만두건설!AJ9+만두토목!AJ9+홍천서석!AJ9+사창리!AJ9+대원건설!AJ9+정윤일!AJ9+비고1!AJ9+비고2!AJ9,"")</f>
        <v/>
      </c>
      <c r="AK9" s="2" t="str">
        <f>IF(만두건설!AK9+만두토목!AK9+홍천서석!AK9+사창리!AK9+대원건설!AK9+정윤일!AK9+비고1!AK9+비고2!AK9&gt;0,만두건설!AK9+만두토목!AK9+홍천서석!AK9+사창리!AK9+대원건설!AK9+정윤일!AK9+비고1!AK9+비고2!AK9,"")</f>
        <v/>
      </c>
      <c r="AL9" s="4">
        <f t="shared" si="1"/>
        <v>28</v>
      </c>
      <c r="AM9" s="4"/>
      <c r="AN9" s="4">
        <f t="shared" si="2"/>
        <v>28</v>
      </c>
      <c r="AO9" s="4"/>
      <c r="AP9" s="7" t="str">
        <f>IF(만두건설!AL9&gt;0,만두건설!AL9,"")</f>
        <v/>
      </c>
      <c r="AQ9" s="7"/>
      <c r="AR9" s="7" t="str">
        <f>IF(만두토목!AL9&gt;0,만두토목!AL9,"")</f>
        <v/>
      </c>
      <c r="AS9" s="7"/>
      <c r="AT9" s="7" t="str">
        <f>IF(홍천서석!AL9&gt;0,홍천서석!AL9,"")</f>
        <v/>
      </c>
      <c r="AU9" s="7"/>
      <c r="AV9" s="7">
        <f>IF(사창리!AL9&gt;0,사창리!AL9,"")</f>
        <v>28</v>
      </c>
      <c r="AW9" s="7"/>
      <c r="AX9" s="7" t="str">
        <f>IF(대원건설!AL9&gt;0,대원건설!AL9,"")</f>
        <v/>
      </c>
      <c r="AY9" s="7"/>
      <c r="AZ9" s="7" t="str">
        <f>IF(정윤일!AL9&gt;0,정윤일!AL9,"")</f>
        <v/>
      </c>
      <c r="BA9" s="7"/>
      <c r="BB9" s="7" t="str">
        <f>IF(비고1!AL9&gt;0,비고1!AL9,"")</f>
        <v/>
      </c>
      <c r="BC9" s="7"/>
      <c r="BD9" s="7" t="str">
        <f>IF(비고2!AL9&gt;0,비고2!AL9,"")</f>
        <v/>
      </c>
      <c r="BE9" s="7"/>
    </row>
    <row r="10" spans="1:57" ht="23.15" customHeight="1" x14ac:dyDescent="0.55000000000000004">
      <c r="A10" s="4">
        <f t="shared" si="0"/>
        <v>5</v>
      </c>
      <c r="B10" s="4"/>
      <c r="C10" s="4" t="s">
        <v>26</v>
      </c>
      <c r="D10" s="4"/>
      <c r="E10" s="4"/>
      <c r="F10" s="4"/>
      <c r="G10" s="2">
        <f>IF(만두건설!G10+만두토목!G10+홍천서석!G10+사창리!G10+대원건설!G10+정윤일!G10+비고1!G10+비고2!G10&gt;0,만두건설!G10+만두토목!G10+홍천서석!G10+사창리!G10+대원건설!G10+정윤일!G10+비고1!G10+비고2!G10,"")</f>
        <v>1</v>
      </c>
      <c r="H10" s="2">
        <f>IF(만두건설!H10+만두토목!H10+홍천서석!H10+사창리!H10+대원건설!H10+정윤일!H10+비고1!H10+비고2!H10&gt;0,만두건설!H10+만두토목!H10+홍천서석!H10+사창리!H10+대원건설!H10+정윤일!H10+비고1!H10+비고2!H10,"")</f>
        <v>1</v>
      </c>
      <c r="I10" s="2">
        <f>IF(만두건설!I10+만두토목!I10+홍천서석!I10+사창리!I10+대원건설!I10+정윤일!I10+비고1!I10+비고2!I10&gt;0,만두건설!I10+만두토목!I10+홍천서석!I10+사창리!I10+대원건설!I10+정윤일!I10+비고1!I10+비고2!I10,"")</f>
        <v>1</v>
      </c>
      <c r="J10" s="2">
        <f>IF(만두건설!J10+만두토목!J10+홍천서석!J10+사창리!J10+대원건설!J10+정윤일!J10+비고1!J10+비고2!J10&gt;0,만두건설!J10+만두토목!J10+홍천서석!J10+사창리!J10+대원건설!J10+정윤일!J10+비고1!J10+비고2!J10,"")</f>
        <v>1</v>
      </c>
      <c r="K10" s="2">
        <f>IF(만두건설!K10+만두토목!K10+홍천서석!K10+사창리!K10+대원건설!K10+정윤일!K10+비고1!K10+비고2!K10&gt;0,만두건설!K10+만두토목!K10+홍천서석!K10+사창리!K10+대원건설!K10+정윤일!K10+비고1!K10+비고2!K10,"")</f>
        <v>1</v>
      </c>
      <c r="L10" s="2">
        <f>IF(만두건설!L10+만두토목!L10+홍천서석!L10+사창리!L10+대원건설!L10+정윤일!L10+비고1!L10+비고2!L10&gt;0,만두건설!L10+만두토목!L10+홍천서석!L10+사창리!L10+대원건설!L10+정윤일!L10+비고1!L10+비고2!L10,"")</f>
        <v>1</v>
      </c>
      <c r="M10" s="2">
        <f>IF(만두건설!M10+만두토목!M10+홍천서석!M10+사창리!M10+대원건설!M10+정윤일!M10+비고1!M10+비고2!M10&gt;0,만두건설!M10+만두토목!M10+홍천서석!M10+사창리!M10+대원건설!M10+정윤일!M10+비고1!M10+비고2!M10,"")</f>
        <v>1</v>
      </c>
      <c r="N10" s="2">
        <f>IF(만두건설!N10+만두토목!N10+홍천서석!N10+사창리!N10+대원건설!N10+정윤일!N10+비고1!N10+비고2!N10&gt;0,만두건설!N10+만두토목!N10+홍천서석!N10+사창리!N10+대원건설!N10+정윤일!N10+비고1!N10+비고2!N10,"")</f>
        <v>1</v>
      </c>
      <c r="O10" s="2">
        <f>IF(만두건설!O10+만두토목!O10+홍천서석!O10+사창리!O10+대원건설!O10+정윤일!O10+비고1!O10+비고2!O10&gt;0,만두건설!O10+만두토목!O10+홍천서석!O10+사창리!O10+대원건설!O10+정윤일!O10+비고1!O10+비고2!O10,"")</f>
        <v>1</v>
      </c>
      <c r="P10" s="2">
        <f>IF(만두건설!P10+만두토목!P10+홍천서석!P10+사창리!P10+대원건설!P10+정윤일!P10+비고1!P10+비고2!P10&gt;0,만두건설!P10+만두토목!P10+홍천서석!P10+사창리!P10+대원건설!P10+정윤일!P10+비고1!P10+비고2!P10,"")</f>
        <v>1</v>
      </c>
      <c r="Q10" s="2">
        <f>IF(만두건설!Q10+만두토목!Q10+홍천서석!Q10+사창리!Q10+대원건설!Q10+정윤일!Q10+비고1!Q10+비고2!Q10&gt;0,만두건설!Q10+만두토목!Q10+홍천서석!Q10+사창리!Q10+대원건설!Q10+정윤일!Q10+비고1!Q10+비고2!Q10,"")</f>
        <v>1</v>
      </c>
      <c r="R10" s="2">
        <f>IF(만두건설!R10+만두토목!R10+홍천서석!R10+사창리!R10+대원건설!R10+정윤일!R10+비고1!R10+비고2!R10&gt;0,만두건설!R10+만두토목!R10+홍천서석!R10+사창리!R10+대원건설!R10+정윤일!R10+비고1!R10+비고2!R10,"")</f>
        <v>1</v>
      </c>
      <c r="S10" s="2">
        <f>IF(만두건설!S10+만두토목!S10+홍천서석!S10+사창리!S10+대원건설!S10+정윤일!S10+비고1!S10+비고2!S10&gt;0,만두건설!S10+만두토목!S10+홍천서석!S10+사창리!S10+대원건설!S10+정윤일!S10+비고1!S10+비고2!S10,"")</f>
        <v>1</v>
      </c>
      <c r="T10" s="2">
        <f>IF(만두건설!T10+만두토목!T10+홍천서석!T10+사창리!T10+대원건설!T10+정윤일!T10+비고1!T10+비고2!T10&gt;0,만두건설!T10+만두토목!T10+홍천서석!T10+사창리!T10+대원건설!T10+정윤일!T10+비고1!T10+비고2!T10,"")</f>
        <v>1</v>
      </c>
      <c r="U10" s="2">
        <f>IF(만두건설!U10+만두토목!U10+홍천서석!U10+사창리!U10+대원건설!U10+정윤일!U10+비고1!U10+비고2!U10&gt;0,만두건설!U10+만두토목!U10+홍천서석!U10+사창리!U10+대원건설!U10+정윤일!U10+비고1!U10+비고2!U10,"")</f>
        <v>1</v>
      </c>
      <c r="V10" s="2">
        <f>IF(만두건설!V10+만두토목!V10+홍천서석!V10+사창리!V10+대원건설!V10+정윤일!V10+비고1!V10+비고2!V10&gt;0,만두건설!V10+만두토목!V10+홍천서석!V10+사창리!V10+대원건설!V10+정윤일!V10+비고1!V10+비고2!V10,"")</f>
        <v>1</v>
      </c>
      <c r="W10" s="2">
        <f>IF(만두건설!W10+만두토목!W10+홍천서석!W10+사창리!W10+대원건설!W10+정윤일!W10+비고1!W10+비고2!W10&gt;0,만두건설!W10+만두토목!W10+홍천서석!W10+사창리!W10+대원건설!W10+정윤일!W10+비고1!W10+비고2!W10,"")</f>
        <v>1</v>
      </c>
      <c r="X10" s="2">
        <f>IF(만두건설!X10+만두토목!X10+홍천서석!X10+사창리!X10+대원건설!X10+정윤일!X10+비고1!X10+비고2!X10&gt;0,만두건설!X10+만두토목!X10+홍천서석!X10+사창리!X10+대원건설!X10+정윤일!X10+비고1!X10+비고2!X10,"")</f>
        <v>1</v>
      </c>
      <c r="Y10" s="2">
        <f>IF(만두건설!Y10+만두토목!Y10+홍천서석!Y10+사창리!Y10+대원건설!Y10+정윤일!Y10+비고1!Y10+비고2!Y10&gt;0,만두건설!Y10+만두토목!Y10+홍천서석!Y10+사창리!Y10+대원건설!Y10+정윤일!Y10+비고1!Y10+비고2!Y10,"")</f>
        <v>1</v>
      </c>
      <c r="Z10" s="2">
        <f>IF(만두건설!Z10+만두토목!Z10+홍천서석!Z10+사창리!Z10+대원건설!Z10+정윤일!Z10+비고1!Z10+비고2!Z10&gt;0,만두건설!Z10+만두토목!Z10+홍천서석!Z10+사창리!Z10+대원건설!Z10+정윤일!Z10+비고1!Z10+비고2!Z10,"")</f>
        <v>1</v>
      </c>
      <c r="AA10" s="2">
        <f>IF(만두건설!AA10+만두토목!AA10+홍천서석!AA10+사창리!AA10+대원건설!AA10+정윤일!AA10+비고1!AA10+비고2!AA10&gt;0,만두건설!AA10+만두토목!AA10+홍천서석!AA10+사창리!AA10+대원건설!AA10+정윤일!AA10+비고1!AA10+비고2!AA10,"")</f>
        <v>1</v>
      </c>
      <c r="AB10" s="2">
        <f>IF(만두건설!AB10+만두토목!AB10+홍천서석!AB10+사창리!AB10+대원건설!AB10+정윤일!AB10+비고1!AB10+비고2!AB10&gt;0,만두건설!AB10+만두토목!AB10+홍천서석!AB10+사창리!AB10+대원건설!AB10+정윤일!AB10+비고1!AB10+비고2!AB10,"")</f>
        <v>1</v>
      </c>
      <c r="AC10" s="2">
        <f>IF(만두건설!AC10+만두토목!AC10+홍천서석!AC10+사창리!AC10+대원건설!AC10+정윤일!AC10+비고1!AC10+비고2!AC10&gt;0,만두건설!AC10+만두토목!AC10+홍천서석!AC10+사창리!AC10+대원건설!AC10+정윤일!AC10+비고1!AC10+비고2!AC10,"")</f>
        <v>1</v>
      </c>
      <c r="AD10" s="2">
        <f>IF(만두건설!AD10+만두토목!AD10+홍천서석!AD10+사창리!AD10+대원건설!AD10+정윤일!AD10+비고1!AD10+비고2!AD10&gt;0,만두건설!AD10+만두토목!AD10+홍천서석!AD10+사창리!AD10+대원건설!AD10+정윤일!AD10+비고1!AD10+비고2!AD10,"")</f>
        <v>1</v>
      </c>
      <c r="AE10" s="2">
        <f>IF(만두건설!AE10+만두토목!AE10+홍천서석!AE10+사창리!AE10+대원건설!AE10+정윤일!AE10+비고1!AE10+비고2!AE10&gt;0,만두건설!AE10+만두토목!AE10+홍천서석!AE10+사창리!AE10+대원건설!AE10+정윤일!AE10+비고1!AE10+비고2!AE10,"")</f>
        <v>1</v>
      </c>
      <c r="AF10" s="2">
        <f>IF(만두건설!AF10+만두토목!AF10+홍천서석!AF10+사창리!AF10+대원건설!AF10+정윤일!AF10+비고1!AF10+비고2!AF10&gt;0,만두건설!AF10+만두토목!AF10+홍천서석!AF10+사창리!AF10+대원건설!AF10+정윤일!AF10+비고1!AF10+비고2!AF10,"")</f>
        <v>1</v>
      </c>
      <c r="AG10" s="2">
        <f>IF(만두건설!AG10+만두토목!AG10+홍천서석!AG10+사창리!AG10+대원건설!AG10+정윤일!AG10+비고1!AG10+비고2!AG10&gt;0,만두건설!AG10+만두토목!AG10+홍천서석!AG10+사창리!AG10+대원건설!AG10+정윤일!AG10+비고1!AG10+비고2!AG10,"")</f>
        <v>1</v>
      </c>
      <c r="AH10" s="2">
        <f>IF(만두건설!AH10+만두토목!AH10+홍천서석!AH10+사창리!AH10+대원건설!AH10+정윤일!AH10+비고1!AH10+비고2!AH10&gt;0,만두건설!AH10+만두토목!AH10+홍천서석!AH10+사창리!AH10+대원건설!AH10+정윤일!AH10+비고1!AH10+비고2!AH10,"")</f>
        <v>1</v>
      </c>
      <c r="AI10" s="2" t="str">
        <f>IF(만두건설!AI10+만두토목!AI10+홍천서석!AI10+사창리!AI10+대원건설!AI10+정윤일!AI10+비고1!AI10+비고2!AI10&gt;0,만두건설!AI10+만두토목!AI10+홍천서석!AI10+사창리!AI10+대원건설!AI10+정윤일!AI10+비고1!AI10+비고2!AI10,"")</f>
        <v/>
      </c>
      <c r="AJ10" s="2" t="str">
        <f>IF(만두건설!AJ10+만두토목!AJ10+홍천서석!AJ10+사창리!AJ10+대원건설!AJ10+정윤일!AJ10+비고1!AJ10+비고2!AJ10&gt;0,만두건설!AJ10+만두토목!AJ10+홍천서석!AJ10+사창리!AJ10+대원건설!AJ10+정윤일!AJ10+비고1!AJ10+비고2!AJ10,"")</f>
        <v/>
      </c>
      <c r="AK10" s="2" t="str">
        <f>IF(만두건설!AK10+만두토목!AK10+홍천서석!AK10+사창리!AK10+대원건설!AK10+정윤일!AK10+비고1!AK10+비고2!AK10&gt;0,만두건설!AK10+만두토목!AK10+홍천서석!AK10+사창리!AK10+대원건설!AK10+정윤일!AK10+비고1!AK10+비고2!AK10,"")</f>
        <v/>
      </c>
      <c r="AL10" s="4">
        <f t="shared" si="1"/>
        <v>28</v>
      </c>
      <c r="AM10" s="4"/>
      <c r="AN10" s="4">
        <f t="shared" si="2"/>
        <v>28</v>
      </c>
      <c r="AO10" s="4"/>
      <c r="AP10" s="7" t="str">
        <f>IF(만두건설!AL10&gt;0,만두건설!AL10,"")</f>
        <v/>
      </c>
      <c r="AQ10" s="7"/>
      <c r="AR10" s="7" t="str">
        <f>IF(만두토목!AL10&gt;0,만두토목!AL10,"")</f>
        <v/>
      </c>
      <c r="AS10" s="7"/>
      <c r="AT10" s="7" t="str">
        <f>IF(홍천서석!AL10&gt;0,홍천서석!AL10,"")</f>
        <v/>
      </c>
      <c r="AU10" s="7"/>
      <c r="AV10" s="7" t="str">
        <f>IF(사창리!AL10&gt;0,사창리!AL10,"")</f>
        <v/>
      </c>
      <c r="AW10" s="7"/>
      <c r="AX10" s="7">
        <f>IF(대원건설!AL10&gt;0,대원건설!AL10,"")</f>
        <v>28</v>
      </c>
      <c r="AY10" s="7"/>
      <c r="AZ10" s="7" t="str">
        <f>IF(정윤일!AL10&gt;0,정윤일!AL10,"")</f>
        <v/>
      </c>
      <c r="BA10" s="7"/>
      <c r="BB10" s="7" t="str">
        <f>IF(비고1!AL10&gt;0,비고1!AL10,"")</f>
        <v/>
      </c>
      <c r="BC10" s="7"/>
      <c r="BD10" s="7" t="str">
        <f>IF(비고2!AL10&gt;0,비고2!AL10,"")</f>
        <v/>
      </c>
      <c r="BE10" s="7"/>
    </row>
    <row r="11" spans="1:57" ht="23.15" customHeight="1" x14ac:dyDescent="0.55000000000000004">
      <c r="A11" s="4">
        <f t="shared" si="0"/>
        <v>6</v>
      </c>
      <c r="B11" s="4"/>
      <c r="C11" s="4" t="s">
        <v>27</v>
      </c>
      <c r="D11" s="4"/>
      <c r="E11" s="4"/>
      <c r="F11" s="4"/>
      <c r="G11" s="2">
        <f>IF(만두건설!G11+만두토목!G11+홍천서석!G11+사창리!G11+대원건설!G11+정윤일!G11+비고1!G11+비고2!G11&gt;0,만두건설!G11+만두토목!G11+홍천서석!G11+사창리!G11+대원건설!G11+정윤일!G11+비고1!G11+비고2!G11,"")</f>
        <v>1</v>
      </c>
      <c r="H11" s="2">
        <f>IF(만두건설!H11+만두토목!H11+홍천서석!H11+사창리!H11+대원건설!H11+정윤일!H11+비고1!H11+비고2!H11&gt;0,만두건설!H11+만두토목!H11+홍천서석!H11+사창리!H11+대원건설!H11+정윤일!H11+비고1!H11+비고2!H11,"")</f>
        <v>1</v>
      </c>
      <c r="I11" s="2">
        <f>IF(만두건설!I11+만두토목!I11+홍천서석!I11+사창리!I11+대원건설!I11+정윤일!I11+비고1!I11+비고2!I11&gt;0,만두건설!I11+만두토목!I11+홍천서석!I11+사창리!I11+대원건설!I11+정윤일!I11+비고1!I11+비고2!I11,"")</f>
        <v>1</v>
      </c>
      <c r="J11" s="2">
        <f>IF(만두건설!J11+만두토목!J11+홍천서석!J11+사창리!J11+대원건설!J11+정윤일!J11+비고1!J11+비고2!J11&gt;0,만두건설!J11+만두토목!J11+홍천서석!J11+사창리!J11+대원건설!J11+정윤일!J11+비고1!J11+비고2!J11,"")</f>
        <v>1</v>
      </c>
      <c r="K11" s="2">
        <f>IF(만두건설!K11+만두토목!K11+홍천서석!K11+사창리!K11+대원건설!K11+정윤일!K11+비고1!K11+비고2!K11&gt;0,만두건설!K11+만두토목!K11+홍천서석!K11+사창리!K11+대원건설!K11+정윤일!K11+비고1!K11+비고2!K11,"")</f>
        <v>1</v>
      </c>
      <c r="L11" s="2">
        <f>IF(만두건설!L11+만두토목!L11+홍천서석!L11+사창리!L11+대원건설!L11+정윤일!L11+비고1!L11+비고2!L11&gt;0,만두건설!L11+만두토목!L11+홍천서석!L11+사창리!L11+대원건설!L11+정윤일!L11+비고1!L11+비고2!L11,"")</f>
        <v>1</v>
      </c>
      <c r="M11" s="2">
        <f>IF(만두건설!M11+만두토목!M11+홍천서석!M11+사창리!M11+대원건설!M11+정윤일!M11+비고1!M11+비고2!M11&gt;0,만두건설!M11+만두토목!M11+홍천서석!M11+사창리!M11+대원건설!M11+정윤일!M11+비고1!M11+비고2!M11,"")</f>
        <v>1</v>
      </c>
      <c r="N11" s="2">
        <f>IF(만두건설!N11+만두토목!N11+홍천서석!N11+사창리!N11+대원건설!N11+정윤일!N11+비고1!N11+비고2!N11&gt;0,만두건설!N11+만두토목!N11+홍천서석!N11+사창리!N11+대원건설!N11+정윤일!N11+비고1!N11+비고2!N11,"")</f>
        <v>1</v>
      </c>
      <c r="O11" s="2">
        <f>IF(만두건설!O11+만두토목!O11+홍천서석!O11+사창리!O11+대원건설!O11+정윤일!O11+비고1!O11+비고2!O11&gt;0,만두건설!O11+만두토목!O11+홍천서석!O11+사창리!O11+대원건설!O11+정윤일!O11+비고1!O11+비고2!O11,"")</f>
        <v>1</v>
      </c>
      <c r="P11" s="2">
        <f>IF(만두건설!P11+만두토목!P11+홍천서석!P11+사창리!P11+대원건설!P11+정윤일!P11+비고1!P11+비고2!P11&gt;0,만두건설!P11+만두토목!P11+홍천서석!P11+사창리!P11+대원건설!P11+정윤일!P11+비고1!P11+비고2!P11,"")</f>
        <v>1</v>
      </c>
      <c r="Q11" s="2">
        <f>IF(만두건설!Q11+만두토목!Q11+홍천서석!Q11+사창리!Q11+대원건설!Q11+정윤일!Q11+비고1!Q11+비고2!Q11&gt;0,만두건설!Q11+만두토목!Q11+홍천서석!Q11+사창리!Q11+대원건설!Q11+정윤일!Q11+비고1!Q11+비고2!Q11,"")</f>
        <v>1</v>
      </c>
      <c r="R11" s="2">
        <f>IF(만두건설!R11+만두토목!R11+홍천서석!R11+사창리!R11+대원건설!R11+정윤일!R11+비고1!R11+비고2!R11&gt;0,만두건설!R11+만두토목!R11+홍천서석!R11+사창리!R11+대원건설!R11+정윤일!R11+비고1!R11+비고2!R11,"")</f>
        <v>1</v>
      </c>
      <c r="S11" s="2">
        <f>IF(만두건설!S11+만두토목!S11+홍천서석!S11+사창리!S11+대원건설!S11+정윤일!S11+비고1!S11+비고2!S11&gt;0,만두건설!S11+만두토목!S11+홍천서석!S11+사창리!S11+대원건설!S11+정윤일!S11+비고1!S11+비고2!S11,"")</f>
        <v>1</v>
      </c>
      <c r="T11" s="2">
        <f>IF(만두건설!T11+만두토목!T11+홍천서석!T11+사창리!T11+대원건설!T11+정윤일!T11+비고1!T11+비고2!T11&gt;0,만두건설!T11+만두토목!T11+홍천서석!T11+사창리!T11+대원건설!T11+정윤일!T11+비고1!T11+비고2!T11,"")</f>
        <v>1</v>
      </c>
      <c r="U11" s="2">
        <f>IF(만두건설!U11+만두토목!U11+홍천서석!U11+사창리!U11+대원건설!U11+정윤일!U11+비고1!U11+비고2!U11&gt;0,만두건설!U11+만두토목!U11+홍천서석!U11+사창리!U11+대원건설!U11+정윤일!U11+비고1!U11+비고2!U11,"")</f>
        <v>1</v>
      </c>
      <c r="V11" s="2">
        <f>IF(만두건설!V11+만두토목!V11+홍천서석!V11+사창리!V11+대원건설!V11+정윤일!V11+비고1!V11+비고2!V11&gt;0,만두건설!V11+만두토목!V11+홍천서석!V11+사창리!V11+대원건설!V11+정윤일!V11+비고1!V11+비고2!V11,"")</f>
        <v>1</v>
      </c>
      <c r="W11" s="2">
        <f>IF(만두건설!W11+만두토목!W11+홍천서석!W11+사창리!W11+대원건설!W11+정윤일!W11+비고1!W11+비고2!W11&gt;0,만두건설!W11+만두토목!W11+홍천서석!W11+사창리!W11+대원건설!W11+정윤일!W11+비고1!W11+비고2!W11,"")</f>
        <v>1</v>
      </c>
      <c r="X11" s="2">
        <f>IF(만두건설!X11+만두토목!X11+홍천서석!X11+사창리!X11+대원건설!X11+정윤일!X11+비고1!X11+비고2!X11&gt;0,만두건설!X11+만두토목!X11+홍천서석!X11+사창리!X11+대원건설!X11+정윤일!X11+비고1!X11+비고2!X11,"")</f>
        <v>1</v>
      </c>
      <c r="Y11" s="2">
        <f>IF(만두건설!Y11+만두토목!Y11+홍천서석!Y11+사창리!Y11+대원건설!Y11+정윤일!Y11+비고1!Y11+비고2!Y11&gt;0,만두건설!Y11+만두토목!Y11+홍천서석!Y11+사창리!Y11+대원건설!Y11+정윤일!Y11+비고1!Y11+비고2!Y11,"")</f>
        <v>1</v>
      </c>
      <c r="Z11" s="2">
        <f>IF(만두건설!Z11+만두토목!Z11+홍천서석!Z11+사창리!Z11+대원건설!Z11+정윤일!Z11+비고1!Z11+비고2!Z11&gt;0,만두건설!Z11+만두토목!Z11+홍천서석!Z11+사창리!Z11+대원건설!Z11+정윤일!Z11+비고1!Z11+비고2!Z11,"")</f>
        <v>1</v>
      </c>
      <c r="AA11" s="2">
        <f>IF(만두건설!AA11+만두토목!AA11+홍천서석!AA11+사창리!AA11+대원건설!AA11+정윤일!AA11+비고1!AA11+비고2!AA11&gt;0,만두건설!AA11+만두토목!AA11+홍천서석!AA11+사창리!AA11+대원건설!AA11+정윤일!AA11+비고1!AA11+비고2!AA11,"")</f>
        <v>1</v>
      </c>
      <c r="AB11" s="2">
        <f>IF(만두건설!AB11+만두토목!AB11+홍천서석!AB11+사창리!AB11+대원건설!AB11+정윤일!AB11+비고1!AB11+비고2!AB11&gt;0,만두건설!AB11+만두토목!AB11+홍천서석!AB11+사창리!AB11+대원건설!AB11+정윤일!AB11+비고1!AB11+비고2!AB11,"")</f>
        <v>1</v>
      </c>
      <c r="AC11" s="2">
        <f>IF(만두건설!AC11+만두토목!AC11+홍천서석!AC11+사창리!AC11+대원건설!AC11+정윤일!AC11+비고1!AC11+비고2!AC11&gt;0,만두건설!AC11+만두토목!AC11+홍천서석!AC11+사창리!AC11+대원건설!AC11+정윤일!AC11+비고1!AC11+비고2!AC11,"")</f>
        <v>1</v>
      </c>
      <c r="AD11" s="2">
        <f>IF(만두건설!AD11+만두토목!AD11+홍천서석!AD11+사창리!AD11+대원건설!AD11+정윤일!AD11+비고1!AD11+비고2!AD11&gt;0,만두건설!AD11+만두토목!AD11+홍천서석!AD11+사창리!AD11+대원건설!AD11+정윤일!AD11+비고1!AD11+비고2!AD11,"")</f>
        <v>1</v>
      </c>
      <c r="AE11" s="2">
        <f>IF(만두건설!AE11+만두토목!AE11+홍천서석!AE11+사창리!AE11+대원건설!AE11+정윤일!AE11+비고1!AE11+비고2!AE11&gt;0,만두건설!AE11+만두토목!AE11+홍천서석!AE11+사창리!AE11+대원건설!AE11+정윤일!AE11+비고1!AE11+비고2!AE11,"")</f>
        <v>1</v>
      </c>
      <c r="AF11" s="2">
        <f>IF(만두건설!AF11+만두토목!AF11+홍천서석!AF11+사창리!AF11+대원건설!AF11+정윤일!AF11+비고1!AF11+비고2!AF11&gt;0,만두건설!AF11+만두토목!AF11+홍천서석!AF11+사창리!AF11+대원건설!AF11+정윤일!AF11+비고1!AF11+비고2!AF11,"")</f>
        <v>1</v>
      </c>
      <c r="AG11" s="2">
        <f>IF(만두건설!AG11+만두토목!AG11+홍천서석!AG11+사창리!AG11+대원건설!AG11+정윤일!AG11+비고1!AG11+비고2!AG11&gt;0,만두건설!AG11+만두토목!AG11+홍천서석!AG11+사창리!AG11+대원건설!AG11+정윤일!AG11+비고1!AG11+비고2!AG11,"")</f>
        <v>1</v>
      </c>
      <c r="AH11" s="2">
        <f>IF(만두건설!AH11+만두토목!AH11+홍천서석!AH11+사창리!AH11+대원건설!AH11+정윤일!AH11+비고1!AH11+비고2!AH11&gt;0,만두건설!AH11+만두토목!AH11+홍천서석!AH11+사창리!AH11+대원건설!AH11+정윤일!AH11+비고1!AH11+비고2!AH11,"")</f>
        <v>1</v>
      </c>
      <c r="AI11" s="2" t="str">
        <f>IF(만두건설!AI11+만두토목!AI11+홍천서석!AI11+사창리!AI11+대원건설!AI11+정윤일!AI11+비고1!AI11+비고2!AI11&gt;0,만두건설!AI11+만두토목!AI11+홍천서석!AI11+사창리!AI11+대원건설!AI11+정윤일!AI11+비고1!AI11+비고2!AI11,"")</f>
        <v/>
      </c>
      <c r="AJ11" s="2" t="str">
        <f>IF(만두건설!AJ11+만두토목!AJ11+홍천서석!AJ11+사창리!AJ11+대원건설!AJ11+정윤일!AJ11+비고1!AJ11+비고2!AJ11&gt;0,만두건설!AJ11+만두토목!AJ11+홍천서석!AJ11+사창리!AJ11+대원건설!AJ11+정윤일!AJ11+비고1!AJ11+비고2!AJ11,"")</f>
        <v/>
      </c>
      <c r="AK11" s="2" t="str">
        <f>IF(만두건설!AK11+만두토목!AK11+홍천서석!AK11+사창리!AK11+대원건설!AK11+정윤일!AK11+비고1!AK11+비고2!AK11&gt;0,만두건설!AK11+만두토목!AK11+홍천서석!AK11+사창리!AK11+대원건설!AK11+정윤일!AK11+비고1!AK11+비고2!AK11,"")</f>
        <v/>
      </c>
      <c r="AL11" s="4">
        <f t="shared" si="1"/>
        <v>28</v>
      </c>
      <c r="AM11" s="4"/>
      <c r="AN11" s="4">
        <f t="shared" si="2"/>
        <v>28</v>
      </c>
      <c r="AO11" s="4"/>
      <c r="AP11" s="7" t="str">
        <f>IF(만두건설!AL11&gt;0,만두건설!AL11,"")</f>
        <v/>
      </c>
      <c r="AQ11" s="7"/>
      <c r="AR11" s="7" t="str">
        <f>IF(만두토목!AL11&gt;0,만두토목!AL11,"")</f>
        <v/>
      </c>
      <c r="AS11" s="7"/>
      <c r="AT11" s="7" t="str">
        <f>IF(홍천서석!AL11&gt;0,홍천서석!AL11,"")</f>
        <v/>
      </c>
      <c r="AU11" s="7"/>
      <c r="AV11" s="7" t="str">
        <f>IF(사창리!AL11&gt;0,사창리!AL11,"")</f>
        <v/>
      </c>
      <c r="AW11" s="7"/>
      <c r="AX11" s="7" t="str">
        <f>IF(대원건설!AL11&gt;0,대원건설!AL11,"")</f>
        <v/>
      </c>
      <c r="AY11" s="7"/>
      <c r="AZ11" s="7">
        <f>IF(정윤일!AL11&gt;0,정윤일!AL11,"")</f>
        <v>28</v>
      </c>
      <c r="BA11" s="7"/>
      <c r="BB11" s="7" t="str">
        <f>IF(비고1!AL11&gt;0,비고1!AL11,"")</f>
        <v/>
      </c>
      <c r="BC11" s="7"/>
      <c r="BD11" s="7" t="str">
        <f>IF(비고2!AL11&gt;0,비고2!AL11,"")</f>
        <v/>
      </c>
      <c r="BE11" s="7"/>
    </row>
    <row r="12" spans="1:57" ht="23.15" customHeight="1" x14ac:dyDescent="0.55000000000000004">
      <c r="A12" s="4">
        <f t="shared" si="0"/>
        <v>7</v>
      </c>
      <c r="B12" s="4"/>
      <c r="C12" s="3" t="s">
        <v>28</v>
      </c>
      <c r="D12" s="3"/>
      <c r="E12" s="4"/>
      <c r="F12" s="4"/>
      <c r="G12" s="2" t="str">
        <f>IF(만두건설!G12+만두토목!G12+홍천서석!G12+사창리!G12+대원건설!G12+정윤일!G12+비고1!G12+비고2!G12&gt;0,만두건설!G12+만두토목!G12+홍천서석!G12+사창리!G12+대원건설!G12+정윤일!G12+비고1!G12+비고2!G12,"")</f>
        <v/>
      </c>
      <c r="H12" s="2" t="str">
        <f>IF(만두건설!H12+만두토목!H12+홍천서석!H12+사창리!H12+대원건설!H12+정윤일!H12+비고1!H12+비고2!H12&gt;0,만두건설!H12+만두토목!H12+홍천서석!H12+사창리!H12+대원건설!H12+정윤일!H12+비고1!H12+비고2!H12,"")</f>
        <v/>
      </c>
      <c r="I12" s="2" t="str">
        <f>IF(만두건설!I12+만두토목!I12+홍천서석!I12+사창리!I12+대원건설!I12+정윤일!I12+비고1!I12+비고2!I12&gt;0,만두건설!I12+만두토목!I12+홍천서석!I12+사창리!I12+대원건설!I12+정윤일!I12+비고1!I12+비고2!I12,"")</f>
        <v/>
      </c>
      <c r="J12" s="2" t="str">
        <f>IF(만두건설!J12+만두토목!J12+홍천서석!J12+사창리!J12+대원건설!J12+정윤일!J12+비고1!J12+비고2!J12&gt;0,만두건설!J12+만두토목!J12+홍천서석!J12+사창리!J12+대원건설!J12+정윤일!J12+비고1!J12+비고2!J12,"")</f>
        <v/>
      </c>
      <c r="K12" s="2" t="str">
        <f>IF(만두건설!K12+만두토목!K12+홍천서석!K12+사창리!K12+대원건설!K12+정윤일!K12+비고1!K12+비고2!K12&gt;0,만두건설!K12+만두토목!K12+홍천서석!K12+사창리!K12+대원건설!K12+정윤일!K12+비고1!K12+비고2!K12,"")</f>
        <v/>
      </c>
      <c r="L12" s="2" t="str">
        <f>IF(만두건설!L12+만두토목!L12+홍천서석!L12+사창리!L12+대원건설!L12+정윤일!L12+비고1!L12+비고2!L12&gt;0,만두건설!L12+만두토목!L12+홍천서석!L12+사창리!L12+대원건설!L12+정윤일!L12+비고1!L12+비고2!L12,"")</f>
        <v/>
      </c>
      <c r="M12" s="2" t="str">
        <f>IF(만두건설!M12+만두토목!M12+홍천서석!M12+사창리!M12+대원건설!M12+정윤일!M12+비고1!M12+비고2!M12&gt;0,만두건설!M12+만두토목!M12+홍천서석!M12+사창리!M12+대원건설!M12+정윤일!M12+비고1!M12+비고2!M12,"")</f>
        <v/>
      </c>
      <c r="N12" s="2" t="str">
        <f>IF(만두건설!N12+만두토목!N12+홍천서석!N12+사창리!N12+대원건설!N12+정윤일!N12+비고1!N12+비고2!N12&gt;0,만두건설!N12+만두토목!N12+홍천서석!N12+사창리!N12+대원건설!N12+정윤일!N12+비고1!N12+비고2!N12,"")</f>
        <v/>
      </c>
      <c r="O12" s="2" t="str">
        <f>IF(만두건설!O12+만두토목!O12+홍천서석!O12+사창리!O12+대원건설!O12+정윤일!O12+비고1!O12+비고2!O12&gt;0,만두건설!O12+만두토목!O12+홍천서석!O12+사창리!O12+대원건설!O12+정윤일!O12+비고1!O12+비고2!O12,"")</f>
        <v/>
      </c>
      <c r="P12" s="2" t="str">
        <f>IF(만두건설!P12+만두토목!P12+홍천서석!P12+사창리!P12+대원건설!P12+정윤일!P12+비고1!P12+비고2!P12&gt;0,만두건설!P12+만두토목!P12+홍천서석!P12+사창리!P12+대원건설!P12+정윤일!P12+비고1!P12+비고2!P12,"")</f>
        <v/>
      </c>
      <c r="Q12" s="2" t="str">
        <f>IF(만두건설!Q12+만두토목!Q12+홍천서석!Q12+사창리!Q12+대원건설!Q12+정윤일!Q12+비고1!Q12+비고2!Q12&gt;0,만두건설!Q12+만두토목!Q12+홍천서석!Q12+사창리!Q12+대원건설!Q12+정윤일!Q12+비고1!Q12+비고2!Q12,"")</f>
        <v/>
      </c>
      <c r="R12" s="2" t="str">
        <f>IF(만두건설!R12+만두토목!R12+홍천서석!R12+사창리!R12+대원건설!R12+정윤일!R12+비고1!R12+비고2!R12&gt;0,만두건설!R12+만두토목!R12+홍천서석!R12+사창리!R12+대원건설!R12+정윤일!R12+비고1!R12+비고2!R12,"")</f>
        <v/>
      </c>
      <c r="S12" s="2" t="str">
        <f>IF(만두건설!S12+만두토목!S12+홍천서석!S12+사창리!S12+대원건설!S12+정윤일!S12+비고1!S12+비고2!S12&gt;0,만두건설!S12+만두토목!S12+홍천서석!S12+사창리!S12+대원건설!S12+정윤일!S12+비고1!S12+비고2!S12,"")</f>
        <v/>
      </c>
      <c r="T12" s="2" t="str">
        <f>IF(만두건설!T12+만두토목!T12+홍천서석!T12+사창리!T12+대원건설!T12+정윤일!T12+비고1!T12+비고2!T12&gt;0,만두건설!T12+만두토목!T12+홍천서석!T12+사창리!T12+대원건설!T12+정윤일!T12+비고1!T12+비고2!T12,"")</f>
        <v/>
      </c>
      <c r="U12" s="2" t="str">
        <f>IF(만두건설!U12+만두토목!U12+홍천서석!U12+사창리!U12+대원건설!U12+정윤일!U12+비고1!U12+비고2!U12&gt;0,만두건설!U12+만두토목!U12+홍천서석!U12+사창리!U12+대원건설!U12+정윤일!U12+비고1!U12+비고2!U12,"")</f>
        <v/>
      </c>
      <c r="V12" s="2" t="str">
        <f>IF(만두건설!V12+만두토목!V12+홍천서석!V12+사창리!V12+대원건설!V12+정윤일!V12+비고1!V12+비고2!V12&gt;0,만두건설!V12+만두토목!V12+홍천서석!V12+사창리!V12+대원건설!V12+정윤일!V12+비고1!V12+비고2!V12,"")</f>
        <v/>
      </c>
      <c r="W12" s="2" t="str">
        <f>IF(만두건설!W12+만두토목!W12+홍천서석!W12+사창리!W12+대원건설!W12+정윤일!W12+비고1!W12+비고2!W12&gt;0,만두건설!W12+만두토목!W12+홍천서석!W12+사창리!W12+대원건설!W12+정윤일!W12+비고1!W12+비고2!W12,"")</f>
        <v/>
      </c>
      <c r="X12" s="2" t="str">
        <f>IF(만두건설!X12+만두토목!X12+홍천서석!X12+사창리!X12+대원건설!X12+정윤일!X12+비고1!X12+비고2!X12&gt;0,만두건설!X12+만두토목!X12+홍천서석!X12+사창리!X12+대원건설!X12+정윤일!X12+비고1!X12+비고2!X12,"")</f>
        <v/>
      </c>
      <c r="Y12" s="2" t="str">
        <f>IF(만두건설!Y12+만두토목!Y12+홍천서석!Y12+사창리!Y12+대원건설!Y12+정윤일!Y12+비고1!Y12+비고2!Y12&gt;0,만두건설!Y12+만두토목!Y12+홍천서석!Y12+사창리!Y12+대원건설!Y12+정윤일!Y12+비고1!Y12+비고2!Y12,"")</f>
        <v/>
      </c>
      <c r="Z12" s="2" t="str">
        <f>IF(만두건설!Z12+만두토목!Z12+홍천서석!Z12+사창리!Z12+대원건설!Z12+정윤일!Z12+비고1!Z12+비고2!Z12&gt;0,만두건설!Z12+만두토목!Z12+홍천서석!Z12+사창리!Z12+대원건설!Z12+정윤일!Z12+비고1!Z12+비고2!Z12,"")</f>
        <v/>
      </c>
      <c r="AA12" s="2" t="str">
        <f>IF(만두건설!AA12+만두토목!AA12+홍천서석!AA12+사창리!AA12+대원건설!AA12+정윤일!AA12+비고1!AA12+비고2!AA12&gt;0,만두건설!AA12+만두토목!AA12+홍천서석!AA12+사창리!AA12+대원건설!AA12+정윤일!AA12+비고1!AA12+비고2!AA12,"")</f>
        <v/>
      </c>
      <c r="AB12" s="2" t="str">
        <f>IF(만두건설!AB12+만두토목!AB12+홍천서석!AB12+사창리!AB12+대원건설!AB12+정윤일!AB12+비고1!AB12+비고2!AB12&gt;0,만두건설!AB12+만두토목!AB12+홍천서석!AB12+사창리!AB12+대원건설!AB12+정윤일!AB12+비고1!AB12+비고2!AB12,"")</f>
        <v/>
      </c>
      <c r="AC12" s="2" t="str">
        <f>IF(만두건설!AC12+만두토목!AC12+홍천서석!AC12+사창리!AC12+대원건설!AC12+정윤일!AC12+비고1!AC12+비고2!AC12&gt;0,만두건설!AC12+만두토목!AC12+홍천서석!AC12+사창리!AC12+대원건설!AC12+정윤일!AC12+비고1!AC12+비고2!AC12,"")</f>
        <v/>
      </c>
      <c r="AD12" s="2" t="str">
        <f>IF(만두건설!AD12+만두토목!AD12+홍천서석!AD12+사창리!AD12+대원건설!AD12+정윤일!AD12+비고1!AD12+비고2!AD12&gt;0,만두건설!AD12+만두토목!AD12+홍천서석!AD12+사창리!AD12+대원건설!AD12+정윤일!AD12+비고1!AD12+비고2!AD12,"")</f>
        <v/>
      </c>
      <c r="AE12" s="2" t="str">
        <f>IF(만두건설!AE12+만두토목!AE12+홍천서석!AE12+사창리!AE12+대원건설!AE12+정윤일!AE12+비고1!AE12+비고2!AE12&gt;0,만두건설!AE12+만두토목!AE12+홍천서석!AE12+사창리!AE12+대원건설!AE12+정윤일!AE12+비고1!AE12+비고2!AE12,"")</f>
        <v/>
      </c>
      <c r="AF12" s="2" t="str">
        <f>IF(만두건설!AF12+만두토목!AF12+홍천서석!AF12+사창리!AF12+대원건설!AF12+정윤일!AF12+비고1!AF12+비고2!AF12&gt;0,만두건설!AF12+만두토목!AF12+홍천서석!AF12+사창리!AF12+대원건설!AF12+정윤일!AF12+비고1!AF12+비고2!AF12,"")</f>
        <v/>
      </c>
      <c r="AG12" s="2" t="str">
        <f>IF(만두건설!AG12+만두토목!AG12+홍천서석!AG12+사창리!AG12+대원건설!AG12+정윤일!AG12+비고1!AG12+비고2!AG12&gt;0,만두건설!AG12+만두토목!AG12+홍천서석!AG12+사창리!AG12+대원건설!AG12+정윤일!AG12+비고1!AG12+비고2!AG12,"")</f>
        <v/>
      </c>
      <c r="AH12" s="2" t="str">
        <f>IF(만두건설!AH12+만두토목!AH12+홍천서석!AH12+사창리!AH12+대원건설!AH12+정윤일!AH12+비고1!AH12+비고2!AH12&gt;0,만두건설!AH12+만두토목!AH12+홍천서석!AH12+사창리!AH12+대원건설!AH12+정윤일!AH12+비고1!AH12+비고2!AH12,"")</f>
        <v/>
      </c>
      <c r="AI12" s="2" t="str">
        <f>IF(만두건설!AI12+만두토목!AI12+홍천서석!AI12+사창리!AI12+대원건설!AI12+정윤일!AI12+비고1!AI12+비고2!AI12&gt;0,만두건설!AI12+만두토목!AI12+홍천서석!AI12+사창리!AI12+대원건설!AI12+정윤일!AI12+비고1!AI12+비고2!AI12,"")</f>
        <v/>
      </c>
      <c r="AJ12" s="2" t="str">
        <f>IF(만두건설!AJ12+만두토목!AJ12+홍천서석!AJ12+사창리!AJ12+대원건설!AJ12+정윤일!AJ12+비고1!AJ12+비고2!AJ12&gt;0,만두건설!AJ12+만두토목!AJ12+홍천서석!AJ12+사창리!AJ12+대원건설!AJ12+정윤일!AJ12+비고1!AJ12+비고2!AJ12,"")</f>
        <v/>
      </c>
      <c r="AK12" s="2" t="str">
        <f>IF(만두건설!AK12+만두토목!AK12+홍천서석!AK12+사창리!AK12+대원건설!AK12+정윤일!AK12+비고1!AK12+비고2!AK12&gt;0,만두건설!AK12+만두토목!AK12+홍천서석!AK12+사창리!AK12+대원건설!AK12+정윤일!AK12+비고1!AK12+비고2!AK12,"")</f>
        <v/>
      </c>
      <c r="AL12" s="4" t="str">
        <f t="shared" si="1"/>
        <v/>
      </c>
      <c r="AM12" s="4"/>
      <c r="AN12" s="4">
        <f t="shared" si="2"/>
        <v>0</v>
      </c>
      <c r="AO12" s="4"/>
      <c r="AP12" s="7" t="str">
        <f>IF(만두건설!AL12&gt;0,만두건설!AL12,"")</f>
        <v/>
      </c>
      <c r="AQ12" s="7"/>
      <c r="AR12" s="7" t="str">
        <f>IF(만두토목!AL12&gt;0,만두토목!AL12,"")</f>
        <v/>
      </c>
      <c r="AS12" s="7"/>
      <c r="AT12" s="7" t="str">
        <f>IF(홍천서석!AL12&gt;0,홍천서석!AL12,"")</f>
        <v/>
      </c>
      <c r="AU12" s="7"/>
      <c r="AV12" s="7" t="str">
        <f>IF(사창리!AL12&gt;0,사창리!AL12,"")</f>
        <v/>
      </c>
      <c r="AW12" s="7"/>
      <c r="AX12" s="7" t="str">
        <f>IF(대원건설!AL12&gt;0,대원건설!AL12,"")</f>
        <v/>
      </c>
      <c r="AY12" s="7"/>
      <c r="AZ12" s="7" t="str">
        <f>IF(정윤일!AL12&gt;0,정윤일!AL12,"")</f>
        <v/>
      </c>
      <c r="BA12" s="7"/>
      <c r="BB12" s="7" t="str">
        <f>IF(비고1!AL12&gt;0,비고1!AL12,"")</f>
        <v/>
      </c>
      <c r="BC12" s="7"/>
      <c r="BD12" s="7" t="str">
        <f>IF(비고2!AL12&gt;0,비고2!AL12,"")</f>
        <v/>
      </c>
      <c r="BE12" s="7"/>
    </row>
    <row r="13" spans="1:57" ht="23.15" customHeight="1" x14ac:dyDescent="0.55000000000000004">
      <c r="A13" s="4">
        <f t="shared" si="0"/>
        <v>8</v>
      </c>
      <c r="B13" s="4"/>
      <c r="C13" s="4" t="s">
        <v>29</v>
      </c>
      <c r="D13" s="4"/>
      <c r="E13" s="4"/>
      <c r="F13" s="4"/>
      <c r="G13" s="2">
        <f>IF(만두건설!G13+만두토목!G13+홍천서석!G13+사창리!G13+대원건설!G13+정윤일!G13+비고1!G13+비고2!G13&gt;0,만두건설!G13+만두토목!G13+홍천서석!G13+사창리!G13+대원건설!G13+정윤일!G13+비고1!G13+비고2!G13,"")</f>
        <v>1</v>
      </c>
      <c r="H13" s="2">
        <f>IF(만두건설!H13+만두토목!H13+홍천서석!H13+사창리!H13+대원건설!H13+정윤일!H13+비고1!H13+비고2!H13&gt;0,만두건설!H13+만두토목!H13+홍천서석!H13+사창리!H13+대원건설!H13+정윤일!H13+비고1!H13+비고2!H13,"")</f>
        <v>1</v>
      </c>
      <c r="I13" s="2">
        <f>IF(만두건설!I13+만두토목!I13+홍천서석!I13+사창리!I13+대원건설!I13+정윤일!I13+비고1!I13+비고2!I13&gt;0,만두건설!I13+만두토목!I13+홍천서석!I13+사창리!I13+대원건설!I13+정윤일!I13+비고1!I13+비고2!I13,"")</f>
        <v>1</v>
      </c>
      <c r="J13" s="2">
        <f>IF(만두건설!J13+만두토목!J13+홍천서석!J13+사창리!J13+대원건설!J13+정윤일!J13+비고1!J13+비고2!J13&gt;0,만두건설!J13+만두토목!J13+홍천서석!J13+사창리!J13+대원건설!J13+정윤일!J13+비고1!J13+비고2!J13,"")</f>
        <v>1</v>
      </c>
      <c r="K13" s="2">
        <f>IF(만두건설!K13+만두토목!K13+홍천서석!K13+사창리!K13+대원건설!K13+정윤일!K13+비고1!K13+비고2!K13&gt;0,만두건설!K13+만두토목!K13+홍천서석!K13+사창리!K13+대원건설!K13+정윤일!K13+비고1!K13+비고2!K13,"")</f>
        <v>1</v>
      </c>
      <c r="L13" s="2">
        <f>IF(만두건설!L13+만두토목!L13+홍천서석!L13+사창리!L13+대원건설!L13+정윤일!L13+비고1!L13+비고2!L13&gt;0,만두건설!L13+만두토목!L13+홍천서석!L13+사창리!L13+대원건설!L13+정윤일!L13+비고1!L13+비고2!L13,"")</f>
        <v>1</v>
      </c>
      <c r="M13" s="2">
        <f>IF(만두건설!M13+만두토목!M13+홍천서석!M13+사창리!M13+대원건설!M13+정윤일!M13+비고1!M13+비고2!M13&gt;0,만두건설!M13+만두토목!M13+홍천서석!M13+사창리!M13+대원건설!M13+정윤일!M13+비고1!M13+비고2!M13,"")</f>
        <v>1</v>
      </c>
      <c r="N13" s="2">
        <f>IF(만두건설!N13+만두토목!N13+홍천서석!N13+사창리!N13+대원건설!N13+정윤일!N13+비고1!N13+비고2!N13&gt;0,만두건설!N13+만두토목!N13+홍천서석!N13+사창리!N13+대원건설!N13+정윤일!N13+비고1!N13+비고2!N13,"")</f>
        <v>1</v>
      </c>
      <c r="O13" s="2">
        <f>IF(만두건설!O13+만두토목!O13+홍천서석!O13+사창리!O13+대원건설!O13+정윤일!O13+비고1!O13+비고2!O13&gt;0,만두건설!O13+만두토목!O13+홍천서석!O13+사창리!O13+대원건설!O13+정윤일!O13+비고1!O13+비고2!O13,"")</f>
        <v>1</v>
      </c>
      <c r="P13" s="2">
        <f>IF(만두건설!P13+만두토목!P13+홍천서석!P13+사창리!P13+대원건설!P13+정윤일!P13+비고1!P13+비고2!P13&gt;0,만두건설!P13+만두토목!P13+홍천서석!P13+사창리!P13+대원건설!P13+정윤일!P13+비고1!P13+비고2!P13,"")</f>
        <v>1</v>
      </c>
      <c r="Q13" s="2">
        <f>IF(만두건설!Q13+만두토목!Q13+홍천서석!Q13+사창리!Q13+대원건설!Q13+정윤일!Q13+비고1!Q13+비고2!Q13&gt;0,만두건설!Q13+만두토목!Q13+홍천서석!Q13+사창리!Q13+대원건설!Q13+정윤일!Q13+비고1!Q13+비고2!Q13,"")</f>
        <v>1</v>
      </c>
      <c r="R13" s="2">
        <f>IF(만두건설!R13+만두토목!R13+홍천서석!R13+사창리!R13+대원건설!R13+정윤일!R13+비고1!R13+비고2!R13&gt;0,만두건설!R13+만두토목!R13+홍천서석!R13+사창리!R13+대원건설!R13+정윤일!R13+비고1!R13+비고2!R13,"")</f>
        <v>1</v>
      </c>
      <c r="S13" s="2">
        <f>IF(만두건설!S13+만두토목!S13+홍천서석!S13+사창리!S13+대원건설!S13+정윤일!S13+비고1!S13+비고2!S13&gt;0,만두건설!S13+만두토목!S13+홍천서석!S13+사창리!S13+대원건설!S13+정윤일!S13+비고1!S13+비고2!S13,"")</f>
        <v>1</v>
      </c>
      <c r="T13" s="2">
        <f>IF(만두건설!T13+만두토목!T13+홍천서석!T13+사창리!T13+대원건설!T13+정윤일!T13+비고1!T13+비고2!T13&gt;0,만두건설!T13+만두토목!T13+홍천서석!T13+사창리!T13+대원건설!T13+정윤일!T13+비고1!T13+비고2!T13,"")</f>
        <v>1</v>
      </c>
      <c r="U13" s="2">
        <f>IF(만두건설!U13+만두토목!U13+홍천서석!U13+사창리!U13+대원건설!U13+정윤일!U13+비고1!U13+비고2!U13&gt;0,만두건설!U13+만두토목!U13+홍천서석!U13+사창리!U13+대원건설!U13+정윤일!U13+비고1!U13+비고2!U13,"")</f>
        <v>1</v>
      </c>
      <c r="V13" s="2">
        <f>IF(만두건설!V13+만두토목!V13+홍천서석!V13+사창리!V13+대원건설!V13+정윤일!V13+비고1!V13+비고2!V13&gt;0,만두건설!V13+만두토목!V13+홍천서석!V13+사창리!V13+대원건설!V13+정윤일!V13+비고1!V13+비고2!V13,"")</f>
        <v>1</v>
      </c>
      <c r="W13" s="2">
        <f>IF(만두건설!W13+만두토목!W13+홍천서석!W13+사창리!W13+대원건설!W13+정윤일!W13+비고1!W13+비고2!W13&gt;0,만두건설!W13+만두토목!W13+홍천서석!W13+사창리!W13+대원건설!W13+정윤일!W13+비고1!W13+비고2!W13,"")</f>
        <v>1</v>
      </c>
      <c r="X13" s="2">
        <f>IF(만두건설!X13+만두토목!X13+홍천서석!X13+사창리!X13+대원건설!X13+정윤일!X13+비고1!X13+비고2!X13&gt;0,만두건설!X13+만두토목!X13+홍천서석!X13+사창리!X13+대원건설!X13+정윤일!X13+비고1!X13+비고2!X13,"")</f>
        <v>1</v>
      </c>
      <c r="Y13" s="2">
        <f>IF(만두건설!Y13+만두토목!Y13+홍천서석!Y13+사창리!Y13+대원건설!Y13+정윤일!Y13+비고1!Y13+비고2!Y13&gt;0,만두건설!Y13+만두토목!Y13+홍천서석!Y13+사창리!Y13+대원건설!Y13+정윤일!Y13+비고1!Y13+비고2!Y13,"")</f>
        <v>1</v>
      </c>
      <c r="Z13" s="2">
        <f>IF(만두건설!Z13+만두토목!Z13+홍천서석!Z13+사창리!Z13+대원건설!Z13+정윤일!Z13+비고1!Z13+비고2!Z13&gt;0,만두건설!Z13+만두토목!Z13+홍천서석!Z13+사창리!Z13+대원건설!Z13+정윤일!Z13+비고1!Z13+비고2!Z13,"")</f>
        <v>1</v>
      </c>
      <c r="AA13" s="2">
        <f>IF(만두건설!AA13+만두토목!AA13+홍천서석!AA13+사창리!AA13+대원건설!AA13+정윤일!AA13+비고1!AA13+비고2!AA13&gt;0,만두건설!AA13+만두토목!AA13+홍천서석!AA13+사창리!AA13+대원건설!AA13+정윤일!AA13+비고1!AA13+비고2!AA13,"")</f>
        <v>1</v>
      </c>
      <c r="AB13" s="2">
        <f>IF(만두건설!AB13+만두토목!AB13+홍천서석!AB13+사창리!AB13+대원건설!AB13+정윤일!AB13+비고1!AB13+비고2!AB13&gt;0,만두건설!AB13+만두토목!AB13+홍천서석!AB13+사창리!AB13+대원건설!AB13+정윤일!AB13+비고1!AB13+비고2!AB13,"")</f>
        <v>1</v>
      </c>
      <c r="AC13" s="2">
        <f>IF(만두건설!AC13+만두토목!AC13+홍천서석!AC13+사창리!AC13+대원건설!AC13+정윤일!AC13+비고1!AC13+비고2!AC13&gt;0,만두건설!AC13+만두토목!AC13+홍천서석!AC13+사창리!AC13+대원건설!AC13+정윤일!AC13+비고1!AC13+비고2!AC13,"")</f>
        <v>1</v>
      </c>
      <c r="AD13" s="2">
        <f>IF(만두건설!AD13+만두토목!AD13+홍천서석!AD13+사창리!AD13+대원건설!AD13+정윤일!AD13+비고1!AD13+비고2!AD13&gt;0,만두건설!AD13+만두토목!AD13+홍천서석!AD13+사창리!AD13+대원건설!AD13+정윤일!AD13+비고1!AD13+비고2!AD13,"")</f>
        <v>1</v>
      </c>
      <c r="AE13" s="2">
        <f>IF(만두건설!AE13+만두토목!AE13+홍천서석!AE13+사창리!AE13+대원건설!AE13+정윤일!AE13+비고1!AE13+비고2!AE13&gt;0,만두건설!AE13+만두토목!AE13+홍천서석!AE13+사창리!AE13+대원건설!AE13+정윤일!AE13+비고1!AE13+비고2!AE13,"")</f>
        <v>1</v>
      </c>
      <c r="AF13" s="2">
        <f>IF(만두건설!AF13+만두토목!AF13+홍천서석!AF13+사창리!AF13+대원건설!AF13+정윤일!AF13+비고1!AF13+비고2!AF13&gt;0,만두건설!AF13+만두토목!AF13+홍천서석!AF13+사창리!AF13+대원건설!AF13+정윤일!AF13+비고1!AF13+비고2!AF13,"")</f>
        <v>1</v>
      </c>
      <c r="AG13" s="2">
        <f>IF(만두건설!AG13+만두토목!AG13+홍천서석!AG13+사창리!AG13+대원건설!AG13+정윤일!AG13+비고1!AG13+비고2!AG13&gt;0,만두건설!AG13+만두토목!AG13+홍천서석!AG13+사창리!AG13+대원건설!AG13+정윤일!AG13+비고1!AG13+비고2!AG13,"")</f>
        <v>1</v>
      </c>
      <c r="AH13" s="2">
        <f>IF(만두건설!AH13+만두토목!AH13+홍천서석!AH13+사창리!AH13+대원건설!AH13+정윤일!AH13+비고1!AH13+비고2!AH13&gt;0,만두건설!AH13+만두토목!AH13+홍천서석!AH13+사창리!AH13+대원건설!AH13+정윤일!AH13+비고1!AH13+비고2!AH13,"")</f>
        <v>1</v>
      </c>
      <c r="AI13" s="2" t="str">
        <f>IF(만두건설!AI13+만두토목!AI13+홍천서석!AI13+사창리!AI13+대원건설!AI13+정윤일!AI13+비고1!AI13+비고2!AI13&gt;0,만두건설!AI13+만두토목!AI13+홍천서석!AI13+사창리!AI13+대원건설!AI13+정윤일!AI13+비고1!AI13+비고2!AI13,"")</f>
        <v/>
      </c>
      <c r="AJ13" s="2" t="str">
        <f>IF(만두건설!AJ13+만두토목!AJ13+홍천서석!AJ13+사창리!AJ13+대원건설!AJ13+정윤일!AJ13+비고1!AJ13+비고2!AJ13&gt;0,만두건설!AJ13+만두토목!AJ13+홍천서석!AJ13+사창리!AJ13+대원건설!AJ13+정윤일!AJ13+비고1!AJ13+비고2!AJ13,"")</f>
        <v/>
      </c>
      <c r="AK13" s="2" t="str">
        <f>IF(만두건설!AK13+만두토목!AK13+홍천서석!AK13+사창리!AK13+대원건설!AK13+정윤일!AK13+비고1!AK13+비고2!AK13&gt;0,만두건설!AK13+만두토목!AK13+홍천서석!AK13+사창리!AK13+대원건설!AK13+정윤일!AK13+비고1!AK13+비고2!AK13,"")</f>
        <v/>
      </c>
      <c r="AL13" s="4">
        <f t="shared" si="1"/>
        <v>28</v>
      </c>
      <c r="AM13" s="4"/>
      <c r="AN13" s="4">
        <f t="shared" si="2"/>
        <v>28</v>
      </c>
      <c r="AO13" s="4"/>
      <c r="AP13" s="7" t="str">
        <f>IF(만두건설!AL13&gt;0,만두건설!AL13,"")</f>
        <v/>
      </c>
      <c r="AQ13" s="7"/>
      <c r="AR13" s="7" t="str">
        <f>IF(만두토목!AL13&gt;0,만두토목!AL13,"")</f>
        <v/>
      </c>
      <c r="AS13" s="7"/>
      <c r="AT13" s="7" t="str">
        <f>IF(홍천서석!AL13&gt;0,홍천서석!AL13,"")</f>
        <v/>
      </c>
      <c r="AU13" s="7"/>
      <c r="AV13" s="7" t="str">
        <f>IF(사창리!AL13&gt;0,사창리!AL13,"")</f>
        <v/>
      </c>
      <c r="AW13" s="7"/>
      <c r="AX13" s="7" t="str">
        <f>IF(대원건설!AL13&gt;0,대원건설!AL13,"")</f>
        <v/>
      </c>
      <c r="AY13" s="7"/>
      <c r="AZ13" s="7" t="str">
        <f>IF(정윤일!AL13&gt;0,정윤일!AL13,"")</f>
        <v/>
      </c>
      <c r="BA13" s="7"/>
      <c r="BB13" s="7">
        <f>IF(비고1!AL13&gt;0,비고1!AL13,"")</f>
        <v>28</v>
      </c>
      <c r="BC13" s="7"/>
      <c r="BD13" s="7" t="str">
        <f>IF(비고2!AL13&gt;0,비고2!AL13,"")</f>
        <v/>
      </c>
      <c r="BE13" s="7"/>
    </row>
    <row r="14" spans="1:57" ht="23.15" customHeight="1" x14ac:dyDescent="0.55000000000000004">
      <c r="A14" s="4">
        <f t="shared" si="0"/>
        <v>9</v>
      </c>
      <c r="B14" s="4"/>
      <c r="C14" s="4" t="s">
        <v>30</v>
      </c>
      <c r="D14" s="4"/>
      <c r="E14" s="4"/>
      <c r="F14" s="4"/>
      <c r="G14" s="2" t="str">
        <f>IF(만두건설!G14+만두토목!G14+홍천서석!G14+사창리!G14+대원건설!G14+정윤일!G14+비고1!G14+비고2!G14&gt;0,만두건설!G14+만두토목!G14+홍천서석!G14+사창리!G14+대원건설!G14+정윤일!G14+비고1!G14+비고2!G14,"")</f>
        <v/>
      </c>
      <c r="H14" s="2" t="str">
        <f>IF(만두건설!H14+만두토목!H14+홍천서석!H14+사창리!H14+대원건설!H14+정윤일!H14+비고1!H14+비고2!H14&gt;0,만두건설!H14+만두토목!H14+홍천서석!H14+사창리!H14+대원건설!H14+정윤일!H14+비고1!H14+비고2!H14,"")</f>
        <v/>
      </c>
      <c r="I14" s="2" t="str">
        <f>IF(만두건설!I14+만두토목!I14+홍천서석!I14+사창리!I14+대원건설!I14+정윤일!I14+비고1!I14+비고2!I14&gt;0,만두건설!I14+만두토목!I14+홍천서석!I14+사창리!I14+대원건설!I14+정윤일!I14+비고1!I14+비고2!I14,"")</f>
        <v/>
      </c>
      <c r="J14" s="2" t="str">
        <f>IF(만두건설!J14+만두토목!J14+홍천서석!J14+사창리!J14+대원건설!J14+정윤일!J14+비고1!J14+비고2!J14&gt;0,만두건설!J14+만두토목!J14+홍천서석!J14+사창리!J14+대원건설!J14+정윤일!J14+비고1!J14+비고2!J14,"")</f>
        <v/>
      </c>
      <c r="K14" s="2" t="str">
        <f>IF(만두건설!K14+만두토목!K14+홍천서석!K14+사창리!K14+대원건설!K14+정윤일!K14+비고1!K14+비고2!K14&gt;0,만두건설!K14+만두토목!K14+홍천서석!K14+사창리!K14+대원건설!K14+정윤일!K14+비고1!K14+비고2!K14,"")</f>
        <v/>
      </c>
      <c r="L14" s="2" t="str">
        <f>IF(만두건설!L14+만두토목!L14+홍천서석!L14+사창리!L14+대원건설!L14+정윤일!L14+비고1!L14+비고2!L14&gt;0,만두건설!L14+만두토목!L14+홍천서석!L14+사창리!L14+대원건설!L14+정윤일!L14+비고1!L14+비고2!L14,"")</f>
        <v/>
      </c>
      <c r="M14" s="2" t="str">
        <f>IF(만두건설!M14+만두토목!M14+홍천서석!M14+사창리!M14+대원건설!M14+정윤일!M14+비고1!M14+비고2!M14&gt;0,만두건설!M14+만두토목!M14+홍천서석!M14+사창리!M14+대원건설!M14+정윤일!M14+비고1!M14+비고2!M14,"")</f>
        <v/>
      </c>
      <c r="N14" s="2" t="str">
        <f>IF(만두건설!N14+만두토목!N14+홍천서석!N14+사창리!N14+대원건설!N14+정윤일!N14+비고1!N14+비고2!N14&gt;0,만두건설!N14+만두토목!N14+홍천서석!N14+사창리!N14+대원건설!N14+정윤일!N14+비고1!N14+비고2!N14,"")</f>
        <v/>
      </c>
      <c r="O14" s="2" t="str">
        <f>IF(만두건설!O14+만두토목!O14+홍천서석!O14+사창리!O14+대원건설!O14+정윤일!O14+비고1!O14+비고2!O14&gt;0,만두건설!O14+만두토목!O14+홍천서석!O14+사창리!O14+대원건설!O14+정윤일!O14+비고1!O14+비고2!O14,"")</f>
        <v/>
      </c>
      <c r="P14" s="2" t="str">
        <f>IF(만두건설!P14+만두토목!P14+홍천서석!P14+사창리!P14+대원건설!P14+정윤일!P14+비고1!P14+비고2!P14&gt;0,만두건설!P14+만두토목!P14+홍천서석!P14+사창리!P14+대원건설!P14+정윤일!P14+비고1!P14+비고2!P14,"")</f>
        <v/>
      </c>
      <c r="Q14" s="2" t="str">
        <f>IF(만두건설!Q14+만두토목!Q14+홍천서석!Q14+사창리!Q14+대원건설!Q14+정윤일!Q14+비고1!Q14+비고2!Q14&gt;0,만두건설!Q14+만두토목!Q14+홍천서석!Q14+사창리!Q14+대원건설!Q14+정윤일!Q14+비고1!Q14+비고2!Q14,"")</f>
        <v/>
      </c>
      <c r="R14" s="2" t="str">
        <f>IF(만두건설!R14+만두토목!R14+홍천서석!R14+사창리!R14+대원건설!R14+정윤일!R14+비고1!R14+비고2!R14&gt;0,만두건설!R14+만두토목!R14+홍천서석!R14+사창리!R14+대원건설!R14+정윤일!R14+비고1!R14+비고2!R14,"")</f>
        <v/>
      </c>
      <c r="S14" s="2" t="str">
        <f>IF(만두건설!S14+만두토목!S14+홍천서석!S14+사창리!S14+대원건설!S14+정윤일!S14+비고1!S14+비고2!S14&gt;0,만두건설!S14+만두토목!S14+홍천서석!S14+사창리!S14+대원건설!S14+정윤일!S14+비고1!S14+비고2!S14,"")</f>
        <v/>
      </c>
      <c r="T14" s="2" t="str">
        <f>IF(만두건설!T14+만두토목!T14+홍천서석!T14+사창리!T14+대원건설!T14+정윤일!T14+비고1!T14+비고2!T14&gt;0,만두건설!T14+만두토목!T14+홍천서석!T14+사창리!T14+대원건설!T14+정윤일!T14+비고1!T14+비고2!T14,"")</f>
        <v/>
      </c>
      <c r="U14" s="2" t="str">
        <f>IF(만두건설!U14+만두토목!U14+홍천서석!U14+사창리!U14+대원건설!U14+정윤일!U14+비고1!U14+비고2!U14&gt;0,만두건설!U14+만두토목!U14+홍천서석!U14+사창리!U14+대원건설!U14+정윤일!U14+비고1!U14+비고2!U14,"")</f>
        <v/>
      </c>
      <c r="V14" s="2" t="str">
        <f>IF(만두건설!V14+만두토목!V14+홍천서석!V14+사창리!V14+대원건설!V14+정윤일!V14+비고1!V14+비고2!V14&gt;0,만두건설!V14+만두토목!V14+홍천서석!V14+사창리!V14+대원건설!V14+정윤일!V14+비고1!V14+비고2!V14,"")</f>
        <v/>
      </c>
      <c r="W14" s="2" t="str">
        <f>IF(만두건설!W14+만두토목!W14+홍천서석!W14+사창리!W14+대원건설!W14+정윤일!W14+비고1!W14+비고2!W14&gt;0,만두건설!W14+만두토목!W14+홍천서석!W14+사창리!W14+대원건설!W14+정윤일!W14+비고1!W14+비고2!W14,"")</f>
        <v/>
      </c>
      <c r="X14" s="2" t="str">
        <f>IF(만두건설!X14+만두토목!X14+홍천서석!X14+사창리!X14+대원건설!X14+정윤일!X14+비고1!X14+비고2!X14&gt;0,만두건설!X14+만두토목!X14+홍천서석!X14+사창리!X14+대원건설!X14+정윤일!X14+비고1!X14+비고2!X14,"")</f>
        <v/>
      </c>
      <c r="Y14" s="2" t="str">
        <f>IF(만두건설!Y14+만두토목!Y14+홍천서석!Y14+사창리!Y14+대원건설!Y14+정윤일!Y14+비고1!Y14+비고2!Y14&gt;0,만두건설!Y14+만두토목!Y14+홍천서석!Y14+사창리!Y14+대원건설!Y14+정윤일!Y14+비고1!Y14+비고2!Y14,"")</f>
        <v/>
      </c>
      <c r="Z14" s="2" t="str">
        <f>IF(만두건설!Z14+만두토목!Z14+홍천서석!Z14+사창리!Z14+대원건설!Z14+정윤일!Z14+비고1!Z14+비고2!Z14&gt;0,만두건설!Z14+만두토목!Z14+홍천서석!Z14+사창리!Z14+대원건설!Z14+정윤일!Z14+비고1!Z14+비고2!Z14,"")</f>
        <v/>
      </c>
      <c r="AA14" s="2" t="str">
        <f>IF(만두건설!AA14+만두토목!AA14+홍천서석!AA14+사창리!AA14+대원건설!AA14+정윤일!AA14+비고1!AA14+비고2!AA14&gt;0,만두건설!AA14+만두토목!AA14+홍천서석!AA14+사창리!AA14+대원건설!AA14+정윤일!AA14+비고1!AA14+비고2!AA14,"")</f>
        <v/>
      </c>
      <c r="AB14" s="2" t="str">
        <f>IF(만두건설!AB14+만두토목!AB14+홍천서석!AB14+사창리!AB14+대원건설!AB14+정윤일!AB14+비고1!AB14+비고2!AB14&gt;0,만두건설!AB14+만두토목!AB14+홍천서석!AB14+사창리!AB14+대원건설!AB14+정윤일!AB14+비고1!AB14+비고2!AB14,"")</f>
        <v/>
      </c>
      <c r="AC14" s="2" t="str">
        <f>IF(만두건설!AC14+만두토목!AC14+홍천서석!AC14+사창리!AC14+대원건설!AC14+정윤일!AC14+비고1!AC14+비고2!AC14&gt;0,만두건설!AC14+만두토목!AC14+홍천서석!AC14+사창리!AC14+대원건설!AC14+정윤일!AC14+비고1!AC14+비고2!AC14,"")</f>
        <v/>
      </c>
      <c r="AD14" s="2" t="str">
        <f>IF(만두건설!AD14+만두토목!AD14+홍천서석!AD14+사창리!AD14+대원건설!AD14+정윤일!AD14+비고1!AD14+비고2!AD14&gt;0,만두건설!AD14+만두토목!AD14+홍천서석!AD14+사창리!AD14+대원건설!AD14+정윤일!AD14+비고1!AD14+비고2!AD14,"")</f>
        <v/>
      </c>
      <c r="AE14" s="2" t="str">
        <f>IF(만두건설!AE14+만두토목!AE14+홍천서석!AE14+사창리!AE14+대원건설!AE14+정윤일!AE14+비고1!AE14+비고2!AE14&gt;0,만두건설!AE14+만두토목!AE14+홍천서석!AE14+사창리!AE14+대원건설!AE14+정윤일!AE14+비고1!AE14+비고2!AE14,"")</f>
        <v/>
      </c>
      <c r="AF14" s="2" t="str">
        <f>IF(만두건설!AF14+만두토목!AF14+홍천서석!AF14+사창리!AF14+대원건설!AF14+정윤일!AF14+비고1!AF14+비고2!AF14&gt;0,만두건설!AF14+만두토목!AF14+홍천서석!AF14+사창리!AF14+대원건설!AF14+정윤일!AF14+비고1!AF14+비고2!AF14,"")</f>
        <v/>
      </c>
      <c r="AG14" s="2" t="str">
        <f>IF(만두건설!AG14+만두토목!AG14+홍천서석!AG14+사창리!AG14+대원건설!AG14+정윤일!AG14+비고1!AG14+비고2!AG14&gt;0,만두건설!AG14+만두토목!AG14+홍천서석!AG14+사창리!AG14+대원건설!AG14+정윤일!AG14+비고1!AG14+비고2!AG14,"")</f>
        <v/>
      </c>
      <c r="AH14" s="2" t="str">
        <f>IF(만두건설!AH14+만두토목!AH14+홍천서석!AH14+사창리!AH14+대원건설!AH14+정윤일!AH14+비고1!AH14+비고2!AH14&gt;0,만두건설!AH14+만두토목!AH14+홍천서석!AH14+사창리!AH14+대원건설!AH14+정윤일!AH14+비고1!AH14+비고2!AH14,"")</f>
        <v/>
      </c>
      <c r="AI14" s="2" t="str">
        <f>IF(만두건설!AI14+만두토목!AI14+홍천서석!AI14+사창리!AI14+대원건설!AI14+정윤일!AI14+비고1!AI14+비고2!AI14&gt;0,만두건설!AI14+만두토목!AI14+홍천서석!AI14+사창리!AI14+대원건설!AI14+정윤일!AI14+비고1!AI14+비고2!AI14,"")</f>
        <v/>
      </c>
      <c r="AJ14" s="2" t="str">
        <f>IF(만두건설!AJ14+만두토목!AJ14+홍천서석!AJ14+사창리!AJ14+대원건설!AJ14+정윤일!AJ14+비고1!AJ14+비고2!AJ14&gt;0,만두건설!AJ14+만두토목!AJ14+홍천서석!AJ14+사창리!AJ14+대원건설!AJ14+정윤일!AJ14+비고1!AJ14+비고2!AJ14,"")</f>
        <v/>
      </c>
      <c r="AK14" s="2" t="str">
        <f>IF(만두건설!AK14+만두토목!AK14+홍천서석!AK14+사창리!AK14+대원건설!AK14+정윤일!AK14+비고1!AK14+비고2!AK14&gt;0,만두건설!AK14+만두토목!AK14+홍천서석!AK14+사창리!AK14+대원건설!AK14+정윤일!AK14+비고1!AK14+비고2!AK14,"")</f>
        <v/>
      </c>
      <c r="AL14" s="4" t="str">
        <f t="shared" si="1"/>
        <v/>
      </c>
      <c r="AM14" s="4"/>
      <c r="AN14" s="4">
        <f t="shared" si="2"/>
        <v>0</v>
      </c>
      <c r="AO14" s="4"/>
      <c r="AP14" s="7" t="str">
        <f>IF(만두건설!AL14&gt;0,만두건설!AL14,"")</f>
        <v/>
      </c>
      <c r="AQ14" s="7"/>
      <c r="AR14" s="7" t="str">
        <f>IF(만두토목!AL14&gt;0,만두토목!AL14,"")</f>
        <v/>
      </c>
      <c r="AS14" s="7"/>
      <c r="AT14" s="7" t="str">
        <f>IF(홍천서석!AL14&gt;0,홍천서석!AL14,"")</f>
        <v/>
      </c>
      <c r="AU14" s="7"/>
      <c r="AV14" s="7" t="str">
        <f>IF(사창리!AL14&gt;0,사창리!AL14,"")</f>
        <v/>
      </c>
      <c r="AW14" s="7"/>
      <c r="AX14" s="7" t="str">
        <f>IF(대원건설!AL14&gt;0,대원건설!AL14,"")</f>
        <v/>
      </c>
      <c r="AY14" s="7"/>
      <c r="AZ14" s="7" t="str">
        <f>IF(정윤일!AL14&gt;0,정윤일!AL14,"")</f>
        <v/>
      </c>
      <c r="BA14" s="7"/>
      <c r="BB14" s="7" t="str">
        <f>IF(비고1!AL14&gt;0,비고1!AL14,"")</f>
        <v/>
      </c>
      <c r="BC14" s="7"/>
      <c r="BD14" s="7" t="str">
        <f>IF(비고2!AL14&gt;0,비고2!AL14,"")</f>
        <v/>
      </c>
      <c r="BE14" s="7"/>
    </row>
    <row r="15" spans="1:57" ht="23.15" customHeight="1" x14ac:dyDescent="0.55000000000000004">
      <c r="A15" s="4">
        <f t="shared" si="0"/>
        <v>10</v>
      </c>
      <c r="B15" s="4"/>
      <c r="C15" s="4" t="s">
        <v>31</v>
      </c>
      <c r="D15" s="4"/>
      <c r="E15" s="4"/>
      <c r="F15" s="4"/>
      <c r="G15" s="2" t="str">
        <f>IF(만두건설!G15+만두토목!G15+홍천서석!G15+사창리!G15+대원건설!G15+정윤일!G15+비고1!G15+비고2!G15&gt;0,만두건설!G15+만두토목!G15+홍천서석!G15+사창리!G15+대원건설!G15+정윤일!G15+비고1!G15+비고2!G15,"")</f>
        <v/>
      </c>
      <c r="H15" s="2" t="str">
        <f>IF(만두건설!H15+만두토목!H15+홍천서석!H15+사창리!H15+대원건설!H15+정윤일!H15+비고1!H15+비고2!H15&gt;0,만두건설!H15+만두토목!H15+홍천서석!H15+사창리!H15+대원건설!H15+정윤일!H15+비고1!H15+비고2!H15,"")</f>
        <v/>
      </c>
      <c r="I15" s="2" t="str">
        <f>IF(만두건설!I15+만두토목!I15+홍천서석!I15+사창리!I15+대원건설!I15+정윤일!I15+비고1!I15+비고2!I15&gt;0,만두건설!I15+만두토목!I15+홍천서석!I15+사창리!I15+대원건설!I15+정윤일!I15+비고1!I15+비고2!I15,"")</f>
        <v/>
      </c>
      <c r="J15" s="2" t="str">
        <f>IF(만두건설!J15+만두토목!J15+홍천서석!J15+사창리!J15+대원건설!J15+정윤일!J15+비고1!J15+비고2!J15&gt;0,만두건설!J15+만두토목!J15+홍천서석!J15+사창리!J15+대원건설!J15+정윤일!J15+비고1!J15+비고2!J15,"")</f>
        <v/>
      </c>
      <c r="K15" s="2" t="str">
        <f>IF(만두건설!K15+만두토목!K15+홍천서석!K15+사창리!K15+대원건설!K15+정윤일!K15+비고1!K15+비고2!K15&gt;0,만두건설!K15+만두토목!K15+홍천서석!K15+사창리!K15+대원건설!K15+정윤일!K15+비고1!K15+비고2!K15,"")</f>
        <v/>
      </c>
      <c r="L15" s="2" t="str">
        <f>IF(만두건설!L15+만두토목!L15+홍천서석!L15+사창리!L15+대원건설!L15+정윤일!L15+비고1!L15+비고2!L15&gt;0,만두건설!L15+만두토목!L15+홍천서석!L15+사창리!L15+대원건설!L15+정윤일!L15+비고1!L15+비고2!L15,"")</f>
        <v/>
      </c>
      <c r="M15" s="2" t="str">
        <f>IF(만두건설!M15+만두토목!M15+홍천서석!M15+사창리!M15+대원건설!M15+정윤일!M15+비고1!M15+비고2!M15&gt;0,만두건설!M15+만두토목!M15+홍천서석!M15+사창리!M15+대원건설!M15+정윤일!M15+비고1!M15+비고2!M15,"")</f>
        <v/>
      </c>
      <c r="N15" s="2" t="str">
        <f>IF(만두건설!N15+만두토목!N15+홍천서석!N15+사창리!N15+대원건설!N15+정윤일!N15+비고1!N15+비고2!N15&gt;0,만두건설!N15+만두토목!N15+홍천서석!N15+사창리!N15+대원건설!N15+정윤일!N15+비고1!N15+비고2!N15,"")</f>
        <v/>
      </c>
      <c r="O15" s="2" t="str">
        <f>IF(만두건설!O15+만두토목!O15+홍천서석!O15+사창리!O15+대원건설!O15+정윤일!O15+비고1!O15+비고2!O15&gt;0,만두건설!O15+만두토목!O15+홍천서석!O15+사창리!O15+대원건설!O15+정윤일!O15+비고1!O15+비고2!O15,"")</f>
        <v/>
      </c>
      <c r="P15" s="2" t="str">
        <f>IF(만두건설!P15+만두토목!P15+홍천서석!P15+사창리!P15+대원건설!P15+정윤일!P15+비고1!P15+비고2!P15&gt;0,만두건설!P15+만두토목!P15+홍천서석!P15+사창리!P15+대원건설!P15+정윤일!P15+비고1!P15+비고2!P15,"")</f>
        <v/>
      </c>
      <c r="Q15" s="2" t="str">
        <f>IF(만두건설!Q15+만두토목!Q15+홍천서석!Q15+사창리!Q15+대원건설!Q15+정윤일!Q15+비고1!Q15+비고2!Q15&gt;0,만두건설!Q15+만두토목!Q15+홍천서석!Q15+사창리!Q15+대원건설!Q15+정윤일!Q15+비고1!Q15+비고2!Q15,"")</f>
        <v/>
      </c>
      <c r="R15" s="2" t="str">
        <f>IF(만두건설!R15+만두토목!R15+홍천서석!R15+사창리!R15+대원건설!R15+정윤일!R15+비고1!R15+비고2!R15&gt;0,만두건설!R15+만두토목!R15+홍천서석!R15+사창리!R15+대원건설!R15+정윤일!R15+비고1!R15+비고2!R15,"")</f>
        <v/>
      </c>
      <c r="S15" s="2" t="str">
        <f>IF(만두건설!S15+만두토목!S15+홍천서석!S15+사창리!S15+대원건설!S15+정윤일!S15+비고1!S15+비고2!S15&gt;0,만두건설!S15+만두토목!S15+홍천서석!S15+사창리!S15+대원건설!S15+정윤일!S15+비고1!S15+비고2!S15,"")</f>
        <v/>
      </c>
      <c r="T15" s="2" t="str">
        <f>IF(만두건설!T15+만두토목!T15+홍천서석!T15+사창리!T15+대원건설!T15+정윤일!T15+비고1!T15+비고2!T15&gt;0,만두건설!T15+만두토목!T15+홍천서석!T15+사창리!T15+대원건설!T15+정윤일!T15+비고1!T15+비고2!T15,"")</f>
        <v/>
      </c>
      <c r="U15" s="2" t="str">
        <f>IF(만두건설!U15+만두토목!U15+홍천서석!U15+사창리!U15+대원건설!U15+정윤일!U15+비고1!U15+비고2!U15&gt;0,만두건설!U15+만두토목!U15+홍천서석!U15+사창리!U15+대원건설!U15+정윤일!U15+비고1!U15+비고2!U15,"")</f>
        <v/>
      </c>
      <c r="V15" s="2" t="str">
        <f>IF(만두건설!V15+만두토목!V15+홍천서석!V15+사창리!V15+대원건설!V15+정윤일!V15+비고1!V15+비고2!V15&gt;0,만두건설!V15+만두토목!V15+홍천서석!V15+사창리!V15+대원건설!V15+정윤일!V15+비고1!V15+비고2!V15,"")</f>
        <v/>
      </c>
      <c r="W15" s="2" t="str">
        <f>IF(만두건설!W15+만두토목!W15+홍천서석!W15+사창리!W15+대원건설!W15+정윤일!W15+비고1!W15+비고2!W15&gt;0,만두건설!W15+만두토목!W15+홍천서석!W15+사창리!W15+대원건설!W15+정윤일!W15+비고1!W15+비고2!W15,"")</f>
        <v/>
      </c>
      <c r="X15" s="2" t="str">
        <f>IF(만두건설!X15+만두토목!X15+홍천서석!X15+사창리!X15+대원건설!X15+정윤일!X15+비고1!X15+비고2!X15&gt;0,만두건설!X15+만두토목!X15+홍천서석!X15+사창리!X15+대원건설!X15+정윤일!X15+비고1!X15+비고2!X15,"")</f>
        <v/>
      </c>
      <c r="Y15" s="2" t="str">
        <f>IF(만두건설!Y15+만두토목!Y15+홍천서석!Y15+사창리!Y15+대원건설!Y15+정윤일!Y15+비고1!Y15+비고2!Y15&gt;0,만두건설!Y15+만두토목!Y15+홍천서석!Y15+사창리!Y15+대원건설!Y15+정윤일!Y15+비고1!Y15+비고2!Y15,"")</f>
        <v/>
      </c>
      <c r="Z15" s="2" t="str">
        <f>IF(만두건설!Z15+만두토목!Z15+홍천서석!Z15+사창리!Z15+대원건설!Z15+정윤일!Z15+비고1!Z15+비고2!Z15&gt;0,만두건설!Z15+만두토목!Z15+홍천서석!Z15+사창리!Z15+대원건설!Z15+정윤일!Z15+비고1!Z15+비고2!Z15,"")</f>
        <v/>
      </c>
      <c r="AA15" s="2" t="str">
        <f>IF(만두건설!AA15+만두토목!AA15+홍천서석!AA15+사창리!AA15+대원건설!AA15+정윤일!AA15+비고1!AA15+비고2!AA15&gt;0,만두건설!AA15+만두토목!AA15+홍천서석!AA15+사창리!AA15+대원건설!AA15+정윤일!AA15+비고1!AA15+비고2!AA15,"")</f>
        <v/>
      </c>
      <c r="AB15" s="2" t="str">
        <f>IF(만두건설!AB15+만두토목!AB15+홍천서석!AB15+사창리!AB15+대원건설!AB15+정윤일!AB15+비고1!AB15+비고2!AB15&gt;0,만두건설!AB15+만두토목!AB15+홍천서석!AB15+사창리!AB15+대원건설!AB15+정윤일!AB15+비고1!AB15+비고2!AB15,"")</f>
        <v/>
      </c>
      <c r="AC15" s="2" t="str">
        <f>IF(만두건설!AC15+만두토목!AC15+홍천서석!AC15+사창리!AC15+대원건설!AC15+정윤일!AC15+비고1!AC15+비고2!AC15&gt;0,만두건설!AC15+만두토목!AC15+홍천서석!AC15+사창리!AC15+대원건설!AC15+정윤일!AC15+비고1!AC15+비고2!AC15,"")</f>
        <v/>
      </c>
      <c r="AD15" s="2" t="str">
        <f>IF(만두건설!AD15+만두토목!AD15+홍천서석!AD15+사창리!AD15+대원건설!AD15+정윤일!AD15+비고1!AD15+비고2!AD15&gt;0,만두건설!AD15+만두토목!AD15+홍천서석!AD15+사창리!AD15+대원건설!AD15+정윤일!AD15+비고1!AD15+비고2!AD15,"")</f>
        <v/>
      </c>
      <c r="AE15" s="2" t="str">
        <f>IF(만두건설!AE15+만두토목!AE15+홍천서석!AE15+사창리!AE15+대원건설!AE15+정윤일!AE15+비고1!AE15+비고2!AE15&gt;0,만두건설!AE15+만두토목!AE15+홍천서석!AE15+사창리!AE15+대원건설!AE15+정윤일!AE15+비고1!AE15+비고2!AE15,"")</f>
        <v/>
      </c>
      <c r="AF15" s="2" t="str">
        <f>IF(만두건설!AF15+만두토목!AF15+홍천서석!AF15+사창리!AF15+대원건설!AF15+정윤일!AF15+비고1!AF15+비고2!AF15&gt;0,만두건설!AF15+만두토목!AF15+홍천서석!AF15+사창리!AF15+대원건설!AF15+정윤일!AF15+비고1!AF15+비고2!AF15,"")</f>
        <v/>
      </c>
      <c r="AG15" s="2" t="str">
        <f>IF(만두건설!AG15+만두토목!AG15+홍천서석!AG15+사창리!AG15+대원건설!AG15+정윤일!AG15+비고1!AG15+비고2!AG15&gt;0,만두건설!AG15+만두토목!AG15+홍천서석!AG15+사창리!AG15+대원건설!AG15+정윤일!AG15+비고1!AG15+비고2!AG15,"")</f>
        <v/>
      </c>
      <c r="AH15" s="2" t="str">
        <f>IF(만두건설!AH15+만두토목!AH15+홍천서석!AH15+사창리!AH15+대원건설!AH15+정윤일!AH15+비고1!AH15+비고2!AH15&gt;0,만두건설!AH15+만두토목!AH15+홍천서석!AH15+사창리!AH15+대원건설!AH15+정윤일!AH15+비고1!AH15+비고2!AH15,"")</f>
        <v/>
      </c>
      <c r="AI15" s="2" t="str">
        <f>IF(만두건설!AI15+만두토목!AI15+홍천서석!AI15+사창리!AI15+대원건설!AI15+정윤일!AI15+비고1!AI15+비고2!AI15&gt;0,만두건설!AI15+만두토목!AI15+홍천서석!AI15+사창리!AI15+대원건설!AI15+정윤일!AI15+비고1!AI15+비고2!AI15,"")</f>
        <v/>
      </c>
      <c r="AJ15" s="2" t="str">
        <f>IF(만두건설!AJ15+만두토목!AJ15+홍천서석!AJ15+사창리!AJ15+대원건설!AJ15+정윤일!AJ15+비고1!AJ15+비고2!AJ15&gt;0,만두건설!AJ15+만두토목!AJ15+홍천서석!AJ15+사창리!AJ15+대원건설!AJ15+정윤일!AJ15+비고1!AJ15+비고2!AJ15,"")</f>
        <v/>
      </c>
      <c r="AK15" s="2" t="str">
        <f>IF(만두건설!AK15+만두토목!AK15+홍천서석!AK15+사창리!AK15+대원건설!AK15+정윤일!AK15+비고1!AK15+비고2!AK15&gt;0,만두건설!AK15+만두토목!AK15+홍천서석!AK15+사창리!AK15+대원건설!AK15+정윤일!AK15+비고1!AK15+비고2!AK15,"")</f>
        <v/>
      </c>
      <c r="AL15" s="4" t="str">
        <f t="shared" si="1"/>
        <v/>
      </c>
      <c r="AM15" s="4"/>
      <c r="AN15" s="4">
        <f t="shared" si="2"/>
        <v>0</v>
      </c>
      <c r="AO15" s="4"/>
      <c r="AP15" s="7" t="str">
        <f>IF(만두건설!AL15&gt;0,만두건설!AL15,"")</f>
        <v/>
      </c>
      <c r="AQ15" s="7"/>
      <c r="AR15" s="7" t="str">
        <f>IF(만두토목!AL15&gt;0,만두토목!AL15,"")</f>
        <v/>
      </c>
      <c r="AS15" s="7"/>
      <c r="AT15" s="7" t="str">
        <f>IF(홍천서석!AL15&gt;0,홍천서석!AL15,"")</f>
        <v/>
      </c>
      <c r="AU15" s="7"/>
      <c r="AV15" s="7" t="str">
        <f>IF(사창리!AL15&gt;0,사창리!AL15,"")</f>
        <v/>
      </c>
      <c r="AW15" s="7"/>
      <c r="AX15" s="7" t="str">
        <f>IF(대원건설!AL15&gt;0,대원건설!AL15,"")</f>
        <v/>
      </c>
      <c r="AY15" s="7"/>
      <c r="AZ15" s="7" t="str">
        <f>IF(정윤일!AL15&gt;0,정윤일!AL15,"")</f>
        <v/>
      </c>
      <c r="BA15" s="7"/>
      <c r="BB15" s="7" t="str">
        <f>IF(비고1!AL15&gt;0,비고1!AL15,"")</f>
        <v/>
      </c>
      <c r="BC15" s="7"/>
      <c r="BD15" s="7" t="str">
        <f>IF(비고2!AL15&gt;0,비고2!AL15,"")</f>
        <v/>
      </c>
      <c r="BE15" s="7"/>
    </row>
    <row r="16" spans="1:57" ht="23.15" customHeight="1" x14ac:dyDescent="0.55000000000000004">
      <c r="A16" s="4">
        <f t="shared" si="0"/>
        <v>11</v>
      </c>
      <c r="B16" s="4"/>
      <c r="C16" s="4" t="s">
        <v>32</v>
      </c>
      <c r="D16" s="4"/>
      <c r="E16" s="4"/>
      <c r="F16" s="4"/>
      <c r="G16" s="2" t="str">
        <f>IF(만두건설!G16+만두토목!G16+홍천서석!G16+사창리!G16+대원건설!G16+정윤일!G16+비고1!G16+비고2!G16&gt;0,만두건설!G16+만두토목!G16+홍천서석!G16+사창리!G16+대원건설!G16+정윤일!G16+비고1!G16+비고2!G16,"")</f>
        <v/>
      </c>
      <c r="H16" s="2" t="str">
        <f>IF(만두건설!H16+만두토목!H16+홍천서석!H16+사창리!H16+대원건설!H16+정윤일!H16+비고1!H16+비고2!H16&gt;0,만두건설!H16+만두토목!H16+홍천서석!H16+사창리!H16+대원건설!H16+정윤일!H16+비고1!H16+비고2!H16,"")</f>
        <v/>
      </c>
      <c r="I16" s="2" t="str">
        <f>IF(만두건설!I16+만두토목!I16+홍천서석!I16+사창리!I16+대원건설!I16+정윤일!I16+비고1!I16+비고2!I16&gt;0,만두건설!I16+만두토목!I16+홍천서석!I16+사창리!I16+대원건설!I16+정윤일!I16+비고1!I16+비고2!I16,"")</f>
        <v/>
      </c>
      <c r="J16" s="2" t="str">
        <f>IF(만두건설!J16+만두토목!J16+홍천서석!J16+사창리!J16+대원건설!J16+정윤일!J16+비고1!J16+비고2!J16&gt;0,만두건설!J16+만두토목!J16+홍천서석!J16+사창리!J16+대원건설!J16+정윤일!J16+비고1!J16+비고2!J16,"")</f>
        <v/>
      </c>
      <c r="K16" s="2" t="str">
        <f>IF(만두건설!K16+만두토목!K16+홍천서석!K16+사창리!K16+대원건설!K16+정윤일!K16+비고1!K16+비고2!K16&gt;0,만두건설!K16+만두토목!K16+홍천서석!K16+사창리!K16+대원건설!K16+정윤일!K16+비고1!K16+비고2!K16,"")</f>
        <v/>
      </c>
      <c r="L16" s="2" t="str">
        <f>IF(만두건설!L16+만두토목!L16+홍천서석!L16+사창리!L16+대원건설!L16+정윤일!L16+비고1!L16+비고2!L16&gt;0,만두건설!L16+만두토목!L16+홍천서석!L16+사창리!L16+대원건설!L16+정윤일!L16+비고1!L16+비고2!L16,"")</f>
        <v/>
      </c>
      <c r="M16" s="2" t="str">
        <f>IF(만두건설!M16+만두토목!M16+홍천서석!M16+사창리!M16+대원건설!M16+정윤일!M16+비고1!M16+비고2!M16&gt;0,만두건설!M16+만두토목!M16+홍천서석!M16+사창리!M16+대원건설!M16+정윤일!M16+비고1!M16+비고2!M16,"")</f>
        <v/>
      </c>
      <c r="N16" s="2" t="str">
        <f>IF(만두건설!N16+만두토목!N16+홍천서석!N16+사창리!N16+대원건설!N16+정윤일!N16+비고1!N16+비고2!N16&gt;0,만두건설!N16+만두토목!N16+홍천서석!N16+사창리!N16+대원건설!N16+정윤일!N16+비고1!N16+비고2!N16,"")</f>
        <v/>
      </c>
      <c r="O16" s="2" t="str">
        <f>IF(만두건설!O16+만두토목!O16+홍천서석!O16+사창리!O16+대원건설!O16+정윤일!O16+비고1!O16+비고2!O16&gt;0,만두건설!O16+만두토목!O16+홍천서석!O16+사창리!O16+대원건설!O16+정윤일!O16+비고1!O16+비고2!O16,"")</f>
        <v/>
      </c>
      <c r="P16" s="2" t="str">
        <f>IF(만두건설!P16+만두토목!P16+홍천서석!P16+사창리!P16+대원건설!P16+정윤일!P16+비고1!P16+비고2!P16&gt;0,만두건설!P16+만두토목!P16+홍천서석!P16+사창리!P16+대원건설!P16+정윤일!P16+비고1!P16+비고2!P16,"")</f>
        <v/>
      </c>
      <c r="Q16" s="2" t="str">
        <f>IF(만두건설!Q16+만두토목!Q16+홍천서석!Q16+사창리!Q16+대원건설!Q16+정윤일!Q16+비고1!Q16+비고2!Q16&gt;0,만두건설!Q16+만두토목!Q16+홍천서석!Q16+사창리!Q16+대원건설!Q16+정윤일!Q16+비고1!Q16+비고2!Q16,"")</f>
        <v/>
      </c>
      <c r="R16" s="2" t="str">
        <f>IF(만두건설!R16+만두토목!R16+홍천서석!R16+사창리!R16+대원건설!R16+정윤일!R16+비고1!R16+비고2!R16&gt;0,만두건설!R16+만두토목!R16+홍천서석!R16+사창리!R16+대원건설!R16+정윤일!R16+비고1!R16+비고2!R16,"")</f>
        <v/>
      </c>
      <c r="S16" s="2" t="str">
        <f>IF(만두건설!S16+만두토목!S16+홍천서석!S16+사창리!S16+대원건설!S16+정윤일!S16+비고1!S16+비고2!S16&gt;0,만두건설!S16+만두토목!S16+홍천서석!S16+사창리!S16+대원건설!S16+정윤일!S16+비고1!S16+비고2!S16,"")</f>
        <v/>
      </c>
      <c r="T16" s="2" t="str">
        <f>IF(만두건설!T16+만두토목!T16+홍천서석!T16+사창리!T16+대원건설!T16+정윤일!T16+비고1!T16+비고2!T16&gt;0,만두건설!T16+만두토목!T16+홍천서석!T16+사창리!T16+대원건설!T16+정윤일!T16+비고1!T16+비고2!T16,"")</f>
        <v/>
      </c>
      <c r="U16" s="2" t="str">
        <f>IF(만두건설!U16+만두토목!U16+홍천서석!U16+사창리!U16+대원건설!U16+정윤일!U16+비고1!U16+비고2!U16&gt;0,만두건설!U16+만두토목!U16+홍천서석!U16+사창리!U16+대원건설!U16+정윤일!U16+비고1!U16+비고2!U16,"")</f>
        <v/>
      </c>
      <c r="V16" s="2" t="str">
        <f>IF(만두건설!V16+만두토목!V16+홍천서석!V16+사창리!V16+대원건설!V16+정윤일!V16+비고1!V16+비고2!V16&gt;0,만두건설!V16+만두토목!V16+홍천서석!V16+사창리!V16+대원건설!V16+정윤일!V16+비고1!V16+비고2!V16,"")</f>
        <v/>
      </c>
      <c r="W16" s="2" t="str">
        <f>IF(만두건설!W16+만두토목!W16+홍천서석!W16+사창리!W16+대원건설!W16+정윤일!W16+비고1!W16+비고2!W16&gt;0,만두건설!W16+만두토목!W16+홍천서석!W16+사창리!W16+대원건설!W16+정윤일!W16+비고1!W16+비고2!W16,"")</f>
        <v/>
      </c>
      <c r="X16" s="2" t="str">
        <f>IF(만두건설!X16+만두토목!X16+홍천서석!X16+사창리!X16+대원건설!X16+정윤일!X16+비고1!X16+비고2!X16&gt;0,만두건설!X16+만두토목!X16+홍천서석!X16+사창리!X16+대원건설!X16+정윤일!X16+비고1!X16+비고2!X16,"")</f>
        <v/>
      </c>
      <c r="Y16" s="2" t="str">
        <f>IF(만두건설!Y16+만두토목!Y16+홍천서석!Y16+사창리!Y16+대원건설!Y16+정윤일!Y16+비고1!Y16+비고2!Y16&gt;0,만두건설!Y16+만두토목!Y16+홍천서석!Y16+사창리!Y16+대원건설!Y16+정윤일!Y16+비고1!Y16+비고2!Y16,"")</f>
        <v/>
      </c>
      <c r="Z16" s="2" t="str">
        <f>IF(만두건설!Z16+만두토목!Z16+홍천서석!Z16+사창리!Z16+대원건설!Z16+정윤일!Z16+비고1!Z16+비고2!Z16&gt;0,만두건설!Z16+만두토목!Z16+홍천서석!Z16+사창리!Z16+대원건설!Z16+정윤일!Z16+비고1!Z16+비고2!Z16,"")</f>
        <v/>
      </c>
      <c r="AA16" s="2" t="str">
        <f>IF(만두건설!AA16+만두토목!AA16+홍천서석!AA16+사창리!AA16+대원건설!AA16+정윤일!AA16+비고1!AA16+비고2!AA16&gt;0,만두건설!AA16+만두토목!AA16+홍천서석!AA16+사창리!AA16+대원건설!AA16+정윤일!AA16+비고1!AA16+비고2!AA16,"")</f>
        <v/>
      </c>
      <c r="AB16" s="2" t="str">
        <f>IF(만두건설!AB16+만두토목!AB16+홍천서석!AB16+사창리!AB16+대원건설!AB16+정윤일!AB16+비고1!AB16+비고2!AB16&gt;0,만두건설!AB16+만두토목!AB16+홍천서석!AB16+사창리!AB16+대원건설!AB16+정윤일!AB16+비고1!AB16+비고2!AB16,"")</f>
        <v/>
      </c>
      <c r="AC16" s="2" t="str">
        <f>IF(만두건설!AC16+만두토목!AC16+홍천서석!AC16+사창리!AC16+대원건설!AC16+정윤일!AC16+비고1!AC16+비고2!AC16&gt;0,만두건설!AC16+만두토목!AC16+홍천서석!AC16+사창리!AC16+대원건설!AC16+정윤일!AC16+비고1!AC16+비고2!AC16,"")</f>
        <v/>
      </c>
      <c r="AD16" s="2" t="str">
        <f>IF(만두건설!AD16+만두토목!AD16+홍천서석!AD16+사창리!AD16+대원건설!AD16+정윤일!AD16+비고1!AD16+비고2!AD16&gt;0,만두건설!AD16+만두토목!AD16+홍천서석!AD16+사창리!AD16+대원건설!AD16+정윤일!AD16+비고1!AD16+비고2!AD16,"")</f>
        <v/>
      </c>
      <c r="AE16" s="2" t="str">
        <f>IF(만두건설!AE16+만두토목!AE16+홍천서석!AE16+사창리!AE16+대원건설!AE16+정윤일!AE16+비고1!AE16+비고2!AE16&gt;0,만두건설!AE16+만두토목!AE16+홍천서석!AE16+사창리!AE16+대원건설!AE16+정윤일!AE16+비고1!AE16+비고2!AE16,"")</f>
        <v/>
      </c>
      <c r="AF16" s="2" t="str">
        <f>IF(만두건설!AF16+만두토목!AF16+홍천서석!AF16+사창리!AF16+대원건설!AF16+정윤일!AF16+비고1!AF16+비고2!AF16&gt;0,만두건설!AF16+만두토목!AF16+홍천서석!AF16+사창리!AF16+대원건설!AF16+정윤일!AF16+비고1!AF16+비고2!AF16,"")</f>
        <v/>
      </c>
      <c r="AG16" s="2" t="str">
        <f>IF(만두건설!AG16+만두토목!AG16+홍천서석!AG16+사창리!AG16+대원건설!AG16+정윤일!AG16+비고1!AG16+비고2!AG16&gt;0,만두건설!AG16+만두토목!AG16+홍천서석!AG16+사창리!AG16+대원건설!AG16+정윤일!AG16+비고1!AG16+비고2!AG16,"")</f>
        <v/>
      </c>
      <c r="AH16" s="2" t="str">
        <f>IF(만두건설!AH16+만두토목!AH16+홍천서석!AH16+사창리!AH16+대원건설!AH16+정윤일!AH16+비고1!AH16+비고2!AH16&gt;0,만두건설!AH16+만두토목!AH16+홍천서석!AH16+사창리!AH16+대원건설!AH16+정윤일!AH16+비고1!AH16+비고2!AH16,"")</f>
        <v/>
      </c>
      <c r="AI16" s="2" t="str">
        <f>IF(만두건설!AI16+만두토목!AI16+홍천서석!AI16+사창리!AI16+대원건설!AI16+정윤일!AI16+비고1!AI16+비고2!AI16&gt;0,만두건설!AI16+만두토목!AI16+홍천서석!AI16+사창리!AI16+대원건설!AI16+정윤일!AI16+비고1!AI16+비고2!AI16,"")</f>
        <v/>
      </c>
      <c r="AJ16" s="2" t="str">
        <f>IF(만두건설!AJ16+만두토목!AJ16+홍천서석!AJ16+사창리!AJ16+대원건설!AJ16+정윤일!AJ16+비고1!AJ16+비고2!AJ16&gt;0,만두건설!AJ16+만두토목!AJ16+홍천서석!AJ16+사창리!AJ16+대원건설!AJ16+정윤일!AJ16+비고1!AJ16+비고2!AJ16,"")</f>
        <v/>
      </c>
      <c r="AK16" s="2" t="str">
        <f>IF(만두건설!AK16+만두토목!AK16+홍천서석!AK16+사창리!AK16+대원건설!AK16+정윤일!AK16+비고1!AK16+비고2!AK16&gt;0,만두건설!AK16+만두토목!AK16+홍천서석!AK16+사창리!AK16+대원건설!AK16+정윤일!AK16+비고1!AK16+비고2!AK16,"")</f>
        <v/>
      </c>
      <c r="AL16" s="4" t="str">
        <f t="shared" si="1"/>
        <v/>
      </c>
      <c r="AM16" s="4"/>
      <c r="AN16" s="4">
        <f t="shared" si="2"/>
        <v>0</v>
      </c>
      <c r="AO16" s="4"/>
      <c r="AP16" s="7" t="str">
        <f>IF(만두건설!AL16&gt;0,만두건설!AL16,"")</f>
        <v/>
      </c>
      <c r="AQ16" s="7"/>
      <c r="AR16" s="7" t="str">
        <f>IF(만두토목!AL16&gt;0,만두토목!AL16,"")</f>
        <v/>
      </c>
      <c r="AS16" s="7"/>
      <c r="AT16" s="7" t="str">
        <f>IF(홍천서석!AL16&gt;0,홍천서석!AL16,"")</f>
        <v/>
      </c>
      <c r="AU16" s="7"/>
      <c r="AV16" s="7" t="str">
        <f>IF(사창리!AL16&gt;0,사창리!AL16,"")</f>
        <v/>
      </c>
      <c r="AW16" s="7"/>
      <c r="AX16" s="7" t="str">
        <f>IF(대원건설!AL16&gt;0,대원건설!AL16,"")</f>
        <v/>
      </c>
      <c r="AY16" s="7"/>
      <c r="AZ16" s="7" t="str">
        <f>IF(정윤일!AL16&gt;0,정윤일!AL16,"")</f>
        <v/>
      </c>
      <c r="BA16" s="7"/>
      <c r="BB16" s="7" t="str">
        <f>IF(비고1!AL16&gt;0,비고1!AL16,"")</f>
        <v/>
      </c>
      <c r="BC16" s="7"/>
      <c r="BD16" s="7" t="str">
        <f>IF(비고2!AL16&gt;0,비고2!AL16,"")</f>
        <v/>
      </c>
      <c r="BE16" s="7"/>
    </row>
    <row r="17" spans="1:57" ht="23.15" customHeight="1" x14ac:dyDescent="0.55000000000000004">
      <c r="A17" s="4">
        <f t="shared" si="0"/>
        <v>12</v>
      </c>
      <c r="B17" s="4"/>
      <c r="C17" s="4" t="s">
        <v>33</v>
      </c>
      <c r="D17" s="4"/>
      <c r="E17" s="4"/>
      <c r="F17" s="4"/>
      <c r="G17" s="2" t="str">
        <f>IF(만두건설!G17+만두토목!G17+홍천서석!G17+사창리!G17+대원건설!G17+정윤일!G17+비고1!G17+비고2!G17&gt;0,만두건설!G17+만두토목!G17+홍천서석!G17+사창리!G17+대원건설!G17+정윤일!G17+비고1!G17+비고2!G17,"")</f>
        <v/>
      </c>
      <c r="H17" s="2" t="str">
        <f>IF(만두건설!H17+만두토목!H17+홍천서석!H17+사창리!H17+대원건설!H17+정윤일!H17+비고1!H17+비고2!H17&gt;0,만두건설!H17+만두토목!H17+홍천서석!H17+사창리!H17+대원건설!H17+정윤일!H17+비고1!H17+비고2!H17,"")</f>
        <v/>
      </c>
      <c r="I17" s="2" t="str">
        <f>IF(만두건설!I17+만두토목!I17+홍천서석!I17+사창리!I17+대원건설!I17+정윤일!I17+비고1!I17+비고2!I17&gt;0,만두건설!I17+만두토목!I17+홍천서석!I17+사창리!I17+대원건설!I17+정윤일!I17+비고1!I17+비고2!I17,"")</f>
        <v/>
      </c>
      <c r="J17" s="2" t="str">
        <f>IF(만두건설!J17+만두토목!J17+홍천서석!J17+사창리!J17+대원건설!J17+정윤일!J17+비고1!J17+비고2!J17&gt;0,만두건설!J17+만두토목!J17+홍천서석!J17+사창리!J17+대원건설!J17+정윤일!J17+비고1!J17+비고2!J17,"")</f>
        <v/>
      </c>
      <c r="K17" s="2" t="str">
        <f>IF(만두건설!K17+만두토목!K17+홍천서석!K17+사창리!K17+대원건설!K17+정윤일!K17+비고1!K17+비고2!K17&gt;0,만두건설!K17+만두토목!K17+홍천서석!K17+사창리!K17+대원건설!K17+정윤일!K17+비고1!K17+비고2!K17,"")</f>
        <v/>
      </c>
      <c r="L17" s="2" t="str">
        <f>IF(만두건설!L17+만두토목!L17+홍천서석!L17+사창리!L17+대원건설!L17+정윤일!L17+비고1!L17+비고2!L17&gt;0,만두건설!L17+만두토목!L17+홍천서석!L17+사창리!L17+대원건설!L17+정윤일!L17+비고1!L17+비고2!L17,"")</f>
        <v/>
      </c>
      <c r="M17" s="2" t="str">
        <f>IF(만두건설!M17+만두토목!M17+홍천서석!M17+사창리!M17+대원건설!M17+정윤일!M17+비고1!M17+비고2!M17&gt;0,만두건설!M17+만두토목!M17+홍천서석!M17+사창리!M17+대원건설!M17+정윤일!M17+비고1!M17+비고2!M17,"")</f>
        <v/>
      </c>
      <c r="N17" s="2" t="str">
        <f>IF(만두건설!N17+만두토목!N17+홍천서석!N17+사창리!N17+대원건설!N17+정윤일!N17+비고1!N17+비고2!N17&gt;0,만두건설!N17+만두토목!N17+홍천서석!N17+사창리!N17+대원건설!N17+정윤일!N17+비고1!N17+비고2!N17,"")</f>
        <v/>
      </c>
      <c r="O17" s="2" t="str">
        <f>IF(만두건설!O17+만두토목!O17+홍천서석!O17+사창리!O17+대원건설!O17+정윤일!O17+비고1!O17+비고2!O17&gt;0,만두건설!O17+만두토목!O17+홍천서석!O17+사창리!O17+대원건설!O17+정윤일!O17+비고1!O17+비고2!O17,"")</f>
        <v/>
      </c>
      <c r="P17" s="2" t="str">
        <f>IF(만두건설!P17+만두토목!P17+홍천서석!P17+사창리!P17+대원건설!P17+정윤일!P17+비고1!P17+비고2!P17&gt;0,만두건설!P17+만두토목!P17+홍천서석!P17+사창리!P17+대원건설!P17+정윤일!P17+비고1!P17+비고2!P17,"")</f>
        <v/>
      </c>
      <c r="Q17" s="2" t="str">
        <f>IF(만두건설!Q17+만두토목!Q17+홍천서석!Q17+사창리!Q17+대원건설!Q17+정윤일!Q17+비고1!Q17+비고2!Q17&gt;0,만두건설!Q17+만두토목!Q17+홍천서석!Q17+사창리!Q17+대원건설!Q17+정윤일!Q17+비고1!Q17+비고2!Q17,"")</f>
        <v/>
      </c>
      <c r="R17" s="2" t="str">
        <f>IF(만두건설!R17+만두토목!R17+홍천서석!R17+사창리!R17+대원건설!R17+정윤일!R17+비고1!R17+비고2!R17&gt;0,만두건설!R17+만두토목!R17+홍천서석!R17+사창리!R17+대원건설!R17+정윤일!R17+비고1!R17+비고2!R17,"")</f>
        <v/>
      </c>
      <c r="S17" s="2" t="str">
        <f>IF(만두건설!S17+만두토목!S17+홍천서석!S17+사창리!S17+대원건설!S17+정윤일!S17+비고1!S17+비고2!S17&gt;0,만두건설!S17+만두토목!S17+홍천서석!S17+사창리!S17+대원건설!S17+정윤일!S17+비고1!S17+비고2!S17,"")</f>
        <v/>
      </c>
      <c r="T17" s="2" t="str">
        <f>IF(만두건설!T17+만두토목!T17+홍천서석!T17+사창리!T17+대원건설!T17+정윤일!T17+비고1!T17+비고2!T17&gt;0,만두건설!T17+만두토목!T17+홍천서석!T17+사창리!T17+대원건설!T17+정윤일!T17+비고1!T17+비고2!T17,"")</f>
        <v/>
      </c>
      <c r="U17" s="2" t="str">
        <f>IF(만두건설!U17+만두토목!U17+홍천서석!U17+사창리!U17+대원건설!U17+정윤일!U17+비고1!U17+비고2!U17&gt;0,만두건설!U17+만두토목!U17+홍천서석!U17+사창리!U17+대원건설!U17+정윤일!U17+비고1!U17+비고2!U17,"")</f>
        <v/>
      </c>
      <c r="V17" s="2" t="str">
        <f>IF(만두건설!V17+만두토목!V17+홍천서석!V17+사창리!V17+대원건설!V17+정윤일!V17+비고1!V17+비고2!V17&gt;0,만두건설!V17+만두토목!V17+홍천서석!V17+사창리!V17+대원건설!V17+정윤일!V17+비고1!V17+비고2!V17,"")</f>
        <v/>
      </c>
      <c r="W17" s="2" t="str">
        <f>IF(만두건설!W17+만두토목!W17+홍천서석!W17+사창리!W17+대원건설!W17+정윤일!W17+비고1!W17+비고2!W17&gt;0,만두건설!W17+만두토목!W17+홍천서석!W17+사창리!W17+대원건설!W17+정윤일!W17+비고1!W17+비고2!W17,"")</f>
        <v/>
      </c>
      <c r="X17" s="2" t="str">
        <f>IF(만두건설!X17+만두토목!X17+홍천서석!X17+사창리!X17+대원건설!X17+정윤일!X17+비고1!X17+비고2!X17&gt;0,만두건설!X17+만두토목!X17+홍천서석!X17+사창리!X17+대원건설!X17+정윤일!X17+비고1!X17+비고2!X17,"")</f>
        <v/>
      </c>
      <c r="Y17" s="2" t="str">
        <f>IF(만두건설!Y17+만두토목!Y17+홍천서석!Y17+사창리!Y17+대원건설!Y17+정윤일!Y17+비고1!Y17+비고2!Y17&gt;0,만두건설!Y17+만두토목!Y17+홍천서석!Y17+사창리!Y17+대원건설!Y17+정윤일!Y17+비고1!Y17+비고2!Y17,"")</f>
        <v/>
      </c>
      <c r="Z17" s="2" t="str">
        <f>IF(만두건설!Z17+만두토목!Z17+홍천서석!Z17+사창리!Z17+대원건설!Z17+정윤일!Z17+비고1!Z17+비고2!Z17&gt;0,만두건설!Z17+만두토목!Z17+홍천서석!Z17+사창리!Z17+대원건설!Z17+정윤일!Z17+비고1!Z17+비고2!Z17,"")</f>
        <v/>
      </c>
      <c r="AA17" s="2" t="str">
        <f>IF(만두건설!AA17+만두토목!AA17+홍천서석!AA17+사창리!AA17+대원건설!AA17+정윤일!AA17+비고1!AA17+비고2!AA17&gt;0,만두건설!AA17+만두토목!AA17+홍천서석!AA17+사창리!AA17+대원건설!AA17+정윤일!AA17+비고1!AA17+비고2!AA17,"")</f>
        <v/>
      </c>
      <c r="AB17" s="2" t="str">
        <f>IF(만두건설!AB17+만두토목!AB17+홍천서석!AB17+사창리!AB17+대원건설!AB17+정윤일!AB17+비고1!AB17+비고2!AB17&gt;0,만두건설!AB17+만두토목!AB17+홍천서석!AB17+사창리!AB17+대원건설!AB17+정윤일!AB17+비고1!AB17+비고2!AB17,"")</f>
        <v/>
      </c>
      <c r="AC17" s="2" t="str">
        <f>IF(만두건설!AC17+만두토목!AC17+홍천서석!AC17+사창리!AC17+대원건설!AC17+정윤일!AC17+비고1!AC17+비고2!AC17&gt;0,만두건설!AC17+만두토목!AC17+홍천서석!AC17+사창리!AC17+대원건설!AC17+정윤일!AC17+비고1!AC17+비고2!AC17,"")</f>
        <v/>
      </c>
      <c r="AD17" s="2" t="str">
        <f>IF(만두건설!AD17+만두토목!AD17+홍천서석!AD17+사창리!AD17+대원건설!AD17+정윤일!AD17+비고1!AD17+비고2!AD17&gt;0,만두건설!AD17+만두토목!AD17+홍천서석!AD17+사창리!AD17+대원건설!AD17+정윤일!AD17+비고1!AD17+비고2!AD17,"")</f>
        <v/>
      </c>
      <c r="AE17" s="2" t="str">
        <f>IF(만두건설!AE17+만두토목!AE17+홍천서석!AE17+사창리!AE17+대원건설!AE17+정윤일!AE17+비고1!AE17+비고2!AE17&gt;0,만두건설!AE17+만두토목!AE17+홍천서석!AE17+사창리!AE17+대원건설!AE17+정윤일!AE17+비고1!AE17+비고2!AE17,"")</f>
        <v/>
      </c>
      <c r="AF17" s="2" t="str">
        <f>IF(만두건설!AF17+만두토목!AF17+홍천서석!AF17+사창리!AF17+대원건설!AF17+정윤일!AF17+비고1!AF17+비고2!AF17&gt;0,만두건설!AF17+만두토목!AF17+홍천서석!AF17+사창리!AF17+대원건설!AF17+정윤일!AF17+비고1!AF17+비고2!AF17,"")</f>
        <v/>
      </c>
      <c r="AG17" s="2" t="str">
        <f>IF(만두건설!AG17+만두토목!AG17+홍천서석!AG17+사창리!AG17+대원건설!AG17+정윤일!AG17+비고1!AG17+비고2!AG17&gt;0,만두건설!AG17+만두토목!AG17+홍천서석!AG17+사창리!AG17+대원건설!AG17+정윤일!AG17+비고1!AG17+비고2!AG17,"")</f>
        <v/>
      </c>
      <c r="AH17" s="2" t="str">
        <f>IF(만두건설!AH17+만두토목!AH17+홍천서석!AH17+사창리!AH17+대원건설!AH17+정윤일!AH17+비고1!AH17+비고2!AH17&gt;0,만두건설!AH17+만두토목!AH17+홍천서석!AH17+사창리!AH17+대원건설!AH17+정윤일!AH17+비고1!AH17+비고2!AH17,"")</f>
        <v/>
      </c>
      <c r="AI17" s="2" t="str">
        <f>IF(만두건설!AI17+만두토목!AI17+홍천서석!AI17+사창리!AI17+대원건설!AI17+정윤일!AI17+비고1!AI17+비고2!AI17&gt;0,만두건설!AI17+만두토목!AI17+홍천서석!AI17+사창리!AI17+대원건설!AI17+정윤일!AI17+비고1!AI17+비고2!AI17,"")</f>
        <v/>
      </c>
      <c r="AJ17" s="2" t="str">
        <f>IF(만두건설!AJ17+만두토목!AJ17+홍천서석!AJ17+사창리!AJ17+대원건설!AJ17+정윤일!AJ17+비고1!AJ17+비고2!AJ17&gt;0,만두건설!AJ17+만두토목!AJ17+홍천서석!AJ17+사창리!AJ17+대원건설!AJ17+정윤일!AJ17+비고1!AJ17+비고2!AJ17,"")</f>
        <v/>
      </c>
      <c r="AK17" s="2" t="str">
        <f>IF(만두건설!AK17+만두토목!AK17+홍천서석!AK17+사창리!AK17+대원건설!AK17+정윤일!AK17+비고1!AK17+비고2!AK17&gt;0,만두건설!AK17+만두토목!AK17+홍천서석!AK17+사창리!AK17+대원건설!AK17+정윤일!AK17+비고1!AK17+비고2!AK17,"")</f>
        <v/>
      </c>
      <c r="AL17" s="4" t="str">
        <f t="shared" si="1"/>
        <v/>
      </c>
      <c r="AM17" s="4"/>
      <c r="AN17" s="4">
        <f t="shared" si="2"/>
        <v>0</v>
      </c>
      <c r="AO17" s="4"/>
      <c r="AP17" s="7" t="str">
        <f>IF(만두건설!AL17&gt;0,만두건설!AL17,"")</f>
        <v/>
      </c>
      <c r="AQ17" s="7"/>
      <c r="AR17" s="7" t="str">
        <f>IF(만두토목!AL17&gt;0,만두토목!AL17,"")</f>
        <v/>
      </c>
      <c r="AS17" s="7"/>
      <c r="AT17" s="7" t="str">
        <f>IF(홍천서석!AL17&gt;0,홍천서석!AL17,"")</f>
        <v/>
      </c>
      <c r="AU17" s="7"/>
      <c r="AV17" s="7" t="str">
        <f>IF(사창리!AL17&gt;0,사창리!AL17,"")</f>
        <v/>
      </c>
      <c r="AW17" s="7"/>
      <c r="AX17" s="7" t="str">
        <f>IF(대원건설!AL17&gt;0,대원건설!AL17,"")</f>
        <v/>
      </c>
      <c r="AY17" s="7"/>
      <c r="AZ17" s="7" t="str">
        <f>IF(정윤일!AL17&gt;0,정윤일!AL17,"")</f>
        <v/>
      </c>
      <c r="BA17" s="7"/>
      <c r="BB17" s="7" t="str">
        <f>IF(비고1!AL17&gt;0,비고1!AL17,"")</f>
        <v/>
      </c>
      <c r="BC17" s="7"/>
      <c r="BD17" s="7" t="str">
        <f>IF(비고2!AL17&gt;0,비고2!AL17,"")</f>
        <v/>
      </c>
      <c r="BE17" s="7"/>
    </row>
    <row r="18" spans="1:57" ht="23.15" customHeight="1" x14ac:dyDescent="0.55000000000000004">
      <c r="A18" s="4">
        <f t="shared" si="0"/>
        <v>13</v>
      </c>
      <c r="B18" s="4"/>
      <c r="C18" s="4" t="s">
        <v>34</v>
      </c>
      <c r="D18" s="4"/>
      <c r="E18" s="4"/>
      <c r="F18" s="4"/>
      <c r="G18" s="2">
        <f>IF(만두건설!G18+만두토목!G18+홍천서석!G18+사창리!G18+대원건설!G18+정윤일!G18+비고1!G18+비고2!G18&gt;0,만두건설!G18+만두토목!G18+홍천서석!G18+사창리!G18+대원건설!G18+정윤일!G18+비고1!G18+비고2!G18,"")</f>
        <v>1</v>
      </c>
      <c r="H18" s="2">
        <f>IF(만두건설!H18+만두토목!H18+홍천서석!H18+사창리!H18+대원건설!H18+정윤일!H18+비고1!H18+비고2!H18&gt;0,만두건설!H18+만두토목!H18+홍천서석!H18+사창리!H18+대원건설!H18+정윤일!H18+비고1!H18+비고2!H18,"")</f>
        <v>1</v>
      </c>
      <c r="I18" s="2">
        <f>IF(만두건설!I18+만두토목!I18+홍천서석!I18+사창리!I18+대원건설!I18+정윤일!I18+비고1!I18+비고2!I18&gt;0,만두건설!I18+만두토목!I18+홍천서석!I18+사창리!I18+대원건설!I18+정윤일!I18+비고1!I18+비고2!I18,"")</f>
        <v>1</v>
      </c>
      <c r="J18" s="2">
        <f>IF(만두건설!J18+만두토목!J18+홍천서석!J18+사창리!J18+대원건설!J18+정윤일!J18+비고1!J18+비고2!J18&gt;0,만두건설!J18+만두토목!J18+홍천서석!J18+사창리!J18+대원건설!J18+정윤일!J18+비고1!J18+비고2!J18,"")</f>
        <v>1</v>
      </c>
      <c r="K18" s="2">
        <f>IF(만두건설!K18+만두토목!K18+홍천서석!K18+사창리!K18+대원건설!K18+정윤일!K18+비고1!K18+비고2!K18&gt;0,만두건설!K18+만두토목!K18+홍천서석!K18+사창리!K18+대원건설!K18+정윤일!K18+비고1!K18+비고2!K18,"")</f>
        <v>1</v>
      </c>
      <c r="L18" s="2">
        <f>IF(만두건설!L18+만두토목!L18+홍천서석!L18+사창리!L18+대원건설!L18+정윤일!L18+비고1!L18+비고2!L18&gt;0,만두건설!L18+만두토목!L18+홍천서석!L18+사창리!L18+대원건설!L18+정윤일!L18+비고1!L18+비고2!L18,"")</f>
        <v>1</v>
      </c>
      <c r="M18" s="2">
        <f>IF(만두건설!M18+만두토목!M18+홍천서석!M18+사창리!M18+대원건설!M18+정윤일!M18+비고1!M18+비고2!M18&gt;0,만두건설!M18+만두토목!M18+홍천서석!M18+사창리!M18+대원건설!M18+정윤일!M18+비고1!M18+비고2!M18,"")</f>
        <v>1</v>
      </c>
      <c r="N18" s="2">
        <f>IF(만두건설!N18+만두토목!N18+홍천서석!N18+사창리!N18+대원건설!N18+정윤일!N18+비고1!N18+비고2!N18&gt;0,만두건설!N18+만두토목!N18+홍천서석!N18+사창리!N18+대원건설!N18+정윤일!N18+비고1!N18+비고2!N18,"")</f>
        <v>1</v>
      </c>
      <c r="O18" s="2">
        <f>IF(만두건설!O18+만두토목!O18+홍천서석!O18+사창리!O18+대원건설!O18+정윤일!O18+비고1!O18+비고2!O18&gt;0,만두건설!O18+만두토목!O18+홍천서석!O18+사창리!O18+대원건설!O18+정윤일!O18+비고1!O18+비고2!O18,"")</f>
        <v>1</v>
      </c>
      <c r="P18" s="2">
        <f>IF(만두건설!P18+만두토목!P18+홍천서석!P18+사창리!P18+대원건설!P18+정윤일!P18+비고1!P18+비고2!P18&gt;0,만두건설!P18+만두토목!P18+홍천서석!P18+사창리!P18+대원건설!P18+정윤일!P18+비고1!P18+비고2!P18,"")</f>
        <v>1</v>
      </c>
      <c r="Q18" s="2">
        <f>IF(만두건설!Q18+만두토목!Q18+홍천서석!Q18+사창리!Q18+대원건설!Q18+정윤일!Q18+비고1!Q18+비고2!Q18&gt;0,만두건설!Q18+만두토목!Q18+홍천서석!Q18+사창리!Q18+대원건설!Q18+정윤일!Q18+비고1!Q18+비고2!Q18,"")</f>
        <v>1</v>
      </c>
      <c r="R18" s="2">
        <f>IF(만두건설!R18+만두토목!R18+홍천서석!R18+사창리!R18+대원건설!R18+정윤일!R18+비고1!R18+비고2!R18&gt;0,만두건설!R18+만두토목!R18+홍천서석!R18+사창리!R18+대원건설!R18+정윤일!R18+비고1!R18+비고2!R18,"")</f>
        <v>1</v>
      </c>
      <c r="S18" s="2">
        <f>IF(만두건설!S18+만두토목!S18+홍천서석!S18+사창리!S18+대원건설!S18+정윤일!S18+비고1!S18+비고2!S18&gt;0,만두건설!S18+만두토목!S18+홍천서석!S18+사창리!S18+대원건설!S18+정윤일!S18+비고1!S18+비고2!S18,"")</f>
        <v>1</v>
      </c>
      <c r="T18" s="2">
        <f>IF(만두건설!T18+만두토목!T18+홍천서석!T18+사창리!T18+대원건설!T18+정윤일!T18+비고1!T18+비고2!T18&gt;0,만두건설!T18+만두토목!T18+홍천서석!T18+사창리!T18+대원건설!T18+정윤일!T18+비고1!T18+비고2!T18,"")</f>
        <v>1</v>
      </c>
      <c r="U18" s="2">
        <f>IF(만두건설!U18+만두토목!U18+홍천서석!U18+사창리!U18+대원건설!U18+정윤일!U18+비고1!U18+비고2!U18&gt;0,만두건설!U18+만두토목!U18+홍천서석!U18+사창리!U18+대원건설!U18+정윤일!U18+비고1!U18+비고2!U18,"")</f>
        <v>1</v>
      </c>
      <c r="V18" s="2">
        <f>IF(만두건설!V18+만두토목!V18+홍천서석!V18+사창리!V18+대원건설!V18+정윤일!V18+비고1!V18+비고2!V18&gt;0,만두건설!V18+만두토목!V18+홍천서석!V18+사창리!V18+대원건설!V18+정윤일!V18+비고1!V18+비고2!V18,"")</f>
        <v>1</v>
      </c>
      <c r="W18" s="2">
        <f>IF(만두건설!W18+만두토목!W18+홍천서석!W18+사창리!W18+대원건설!W18+정윤일!W18+비고1!W18+비고2!W18&gt;0,만두건설!W18+만두토목!W18+홍천서석!W18+사창리!W18+대원건설!W18+정윤일!W18+비고1!W18+비고2!W18,"")</f>
        <v>1</v>
      </c>
      <c r="X18" s="2">
        <f>IF(만두건설!X18+만두토목!X18+홍천서석!X18+사창리!X18+대원건설!X18+정윤일!X18+비고1!X18+비고2!X18&gt;0,만두건설!X18+만두토목!X18+홍천서석!X18+사창리!X18+대원건설!X18+정윤일!X18+비고1!X18+비고2!X18,"")</f>
        <v>1</v>
      </c>
      <c r="Y18" s="2">
        <f>IF(만두건설!Y18+만두토목!Y18+홍천서석!Y18+사창리!Y18+대원건설!Y18+정윤일!Y18+비고1!Y18+비고2!Y18&gt;0,만두건설!Y18+만두토목!Y18+홍천서석!Y18+사창리!Y18+대원건설!Y18+정윤일!Y18+비고1!Y18+비고2!Y18,"")</f>
        <v>1</v>
      </c>
      <c r="Z18" s="2">
        <f>IF(만두건설!Z18+만두토목!Z18+홍천서석!Z18+사창리!Z18+대원건설!Z18+정윤일!Z18+비고1!Z18+비고2!Z18&gt;0,만두건설!Z18+만두토목!Z18+홍천서석!Z18+사창리!Z18+대원건설!Z18+정윤일!Z18+비고1!Z18+비고2!Z18,"")</f>
        <v>1</v>
      </c>
      <c r="AA18" s="2">
        <f>IF(만두건설!AA18+만두토목!AA18+홍천서석!AA18+사창리!AA18+대원건설!AA18+정윤일!AA18+비고1!AA18+비고2!AA18&gt;0,만두건설!AA18+만두토목!AA18+홍천서석!AA18+사창리!AA18+대원건설!AA18+정윤일!AA18+비고1!AA18+비고2!AA18,"")</f>
        <v>1</v>
      </c>
      <c r="AB18" s="2">
        <f>IF(만두건설!AB18+만두토목!AB18+홍천서석!AB18+사창리!AB18+대원건설!AB18+정윤일!AB18+비고1!AB18+비고2!AB18&gt;0,만두건설!AB18+만두토목!AB18+홍천서석!AB18+사창리!AB18+대원건설!AB18+정윤일!AB18+비고1!AB18+비고2!AB18,"")</f>
        <v>1</v>
      </c>
      <c r="AC18" s="2">
        <f>IF(만두건설!AC18+만두토목!AC18+홍천서석!AC18+사창리!AC18+대원건설!AC18+정윤일!AC18+비고1!AC18+비고2!AC18&gt;0,만두건설!AC18+만두토목!AC18+홍천서석!AC18+사창리!AC18+대원건설!AC18+정윤일!AC18+비고1!AC18+비고2!AC18,"")</f>
        <v>1</v>
      </c>
      <c r="AD18" s="2">
        <f>IF(만두건설!AD18+만두토목!AD18+홍천서석!AD18+사창리!AD18+대원건설!AD18+정윤일!AD18+비고1!AD18+비고2!AD18&gt;0,만두건설!AD18+만두토목!AD18+홍천서석!AD18+사창리!AD18+대원건설!AD18+정윤일!AD18+비고1!AD18+비고2!AD18,"")</f>
        <v>1</v>
      </c>
      <c r="AE18" s="2">
        <f>IF(만두건설!AE18+만두토목!AE18+홍천서석!AE18+사창리!AE18+대원건설!AE18+정윤일!AE18+비고1!AE18+비고2!AE18&gt;0,만두건설!AE18+만두토목!AE18+홍천서석!AE18+사창리!AE18+대원건설!AE18+정윤일!AE18+비고1!AE18+비고2!AE18,"")</f>
        <v>1</v>
      </c>
      <c r="AF18" s="2">
        <f>IF(만두건설!AF18+만두토목!AF18+홍천서석!AF18+사창리!AF18+대원건설!AF18+정윤일!AF18+비고1!AF18+비고2!AF18&gt;0,만두건설!AF18+만두토목!AF18+홍천서석!AF18+사창리!AF18+대원건설!AF18+정윤일!AF18+비고1!AF18+비고2!AF18,"")</f>
        <v>1</v>
      </c>
      <c r="AG18" s="2">
        <f>IF(만두건설!AG18+만두토목!AG18+홍천서석!AG18+사창리!AG18+대원건설!AG18+정윤일!AG18+비고1!AG18+비고2!AG18&gt;0,만두건설!AG18+만두토목!AG18+홍천서석!AG18+사창리!AG18+대원건설!AG18+정윤일!AG18+비고1!AG18+비고2!AG18,"")</f>
        <v>1</v>
      </c>
      <c r="AH18" s="2">
        <f>IF(만두건설!AH18+만두토목!AH18+홍천서석!AH18+사창리!AH18+대원건설!AH18+정윤일!AH18+비고1!AH18+비고2!AH18&gt;0,만두건설!AH18+만두토목!AH18+홍천서석!AH18+사창리!AH18+대원건설!AH18+정윤일!AH18+비고1!AH18+비고2!AH18,"")</f>
        <v>1</v>
      </c>
      <c r="AI18" s="2">
        <f>IF(만두건설!AI18+만두토목!AI18+홍천서석!AI18+사창리!AI18+대원건설!AI18+정윤일!AI18+비고1!AI18+비고2!AI18&gt;0,만두건설!AI18+만두토목!AI18+홍천서석!AI18+사창리!AI18+대원건설!AI18+정윤일!AI18+비고1!AI18+비고2!AI18,"")</f>
        <v>1</v>
      </c>
      <c r="AJ18" s="2">
        <f>IF(만두건설!AJ18+만두토목!AJ18+홍천서석!AJ18+사창리!AJ18+대원건설!AJ18+정윤일!AJ18+비고1!AJ18+비고2!AJ18&gt;0,만두건설!AJ18+만두토목!AJ18+홍천서석!AJ18+사창리!AJ18+대원건설!AJ18+정윤일!AJ18+비고1!AJ18+비고2!AJ18,"")</f>
        <v>1</v>
      </c>
      <c r="AK18" s="2">
        <f>IF(만두건설!AK18+만두토목!AK18+홍천서석!AK18+사창리!AK18+대원건설!AK18+정윤일!AK18+비고1!AK18+비고2!AK18&gt;0,만두건설!AK18+만두토목!AK18+홍천서석!AK18+사창리!AK18+대원건설!AK18+정윤일!AK18+비고1!AK18+비고2!AK18,"")</f>
        <v>1</v>
      </c>
      <c r="AL18" s="4">
        <f t="shared" si="1"/>
        <v>31</v>
      </c>
      <c r="AM18" s="4"/>
      <c r="AN18" s="4">
        <f t="shared" si="2"/>
        <v>31</v>
      </c>
      <c r="AO18" s="4"/>
      <c r="AP18" s="7" t="str">
        <f>IF(만두건설!AL18&gt;0,만두건설!AL18,"")</f>
        <v/>
      </c>
      <c r="AQ18" s="7"/>
      <c r="AR18" s="7" t="str">
        <f>IF(만두토목!AL18&gt;0,만두토목!AL18,"")</f>
        <v/>
      </c>
      <c r="AS18" s="7"/>
      <c r="AT18" s="7" t="str">
        <f>IF(홍천서석!AL18&gt;0,홍천서석!AL18,"")</f>
        <v/>
      </c>
      <c r="AU18" s="7"/>
      <c r="AV18" s="7" t="str">
        <f>IF(사창리!AL18&gt;0,사창리!AL18,"")</f>
        <v/>
      </c>
      <c r="AW18" s="7"/>
      <c r="AX18" s="7" t="str">
        <f>IF(대원건설!AL18&gt;0,대원건설!AL18,"")</f>
        <v/>
      </c>
      <c r="AY18" s="7"/>
      <c r="AZ18" s="7" t="str">
        <f>IF(정윤일!AL18&gt;0,정윤일!AL18,"")</f>
        <v/>
      </c>
      <c r="BA18" s="7"/>
      <c r="BB18" s="7" t="str">
        <f>IF(비고1!AL18&gt;0,비고1!AL18,"")</f>
        <v/>
      </c>
      <c r="BC18" s="7"/>
      <c r="BD18" s="7">
        <f>IF(비고2!AL18&gt;0,비고2!AL18,"")</f>
        <v>31</v>
      </c>
      <c r="BE18" s="7"/>
    </row>
    <row r="19" spans="1:57" ht="23.15" customHeight="1" x14ac:dyDescent="0.55000000000000004">
      <c r="A19" s="4">
        <f t="shared" si="0"/>
        <v>14</v>
      </c>
      <c r="B19" s="4"/>
      <c r="C19" s="4" t="s">
        <v>35</v>
      </c>
      <c r="D19" s="4"/>
      <c r="E19" s="4"/>
      <c r="F19" s="4"/>
      <c r="G19" s="2" t="str">
        <f>IF(만두건설!G19+만두토목!G19+홍천서석!G19+사창리!G19+대원건설!G19+정윤일!G19+비고1!G19+비고2!G19&gt;0,만두건설!G19+만두토목!G19+홍천서석!G19+사창리!G19+대원건설!G19+정윤일!G19+비고1!G19+비고2!G19,"")</f>
        <v/>
      </c>
      <c r="H19" s="2" t="str">
        <f>IF(만두건설!H19+만두토목!H19+홍천서석!H19+사창리!H19+대원건설!H19+정윤일!H19+비고1!H19+비고2!H19&gt;0,만두건설!H19+만두토목!H19+홍천서석!H19+사창리!H19+대원건설!H19+정윤일!H19+비고1!H19+비고2!H19,"")</f>
        <v/>
      </c>
      <c r="I19" s="2" t="str">
        <f>IF(만두건설!I19+만두토목!I19+홍천서석!I19+사창리!I19+대원건설!I19+정윤일!I19+비고1!I19+비고2!I19&gt;0,만두건설!I19+만두토목!I19+홍천서석!I19+사창리!I19+대원건설!I19+정윤일!I19+비고1!I19+비고2!I19,"")</f>
        <v/>
      </c>
      <c r="J19" s="2" t="str">
        <f>IF(만두건설!J19+만두토목!J19+홍천서석!J19+사창리!J19+대원건설!J19+정윤일!J19+비고1!J19+비고2!J19&gt;0,만두건설!J19+만두토목!J19+홍천서석!J19+사창리!J19+대원건설!J19+정윤일!J19+비고1!J19+비고2!J19,"")</f>
        <v/>
      </c>
      <c r="K19" s="2" t="str">
        <f>IF(만두건설!K19+만두토목!K19+홍천서석!K19+사창리!K19+대원건설!K19+정윤일!K19+비고1!K19+비고2!K19&gt;0,만두건설!K19+만두토목!K19+홍천서석!K19+사창리!K19+대원건설!K19+정윤일!K19+비고1!K19+비고2!K19,"")</f>
        <v/>
      </c>
      <c r="L19" s="2" t="str">
        <f>IF(만두건설!L19+만두토목!L19+홍천서석!L19+사창리!L19+대원건설!L19+정윤일!L19+비고1!L19+비고2!L19&gt;0,만두건설!L19+만두토목!L19+홍천서석!L19+사창리!L19+대원건설!L19+정윤일!L19+비고1!L19+비고2!L19,"")</f>
        <v/>
      </c>
      <c r="M19" s="2" t="str">
        <f>IF(만두건설!M19+만두토목!M19+홍천서석!M19+사창리!M19+대원건설!M19+정윤일!M19+비고1!M19+비고2!M19&gt;0,만두건설!M19+만두토목!M19+홍천서석!M19+사창리!M19+대원건설!M19+정윤일!M19+비고1!M19+비고2!M19,"")</f>
        <v/>
      </c>
      <c r="N19" s="2" t="str">
        <f>IF(만두건설!N19+만두토목!N19+홍천서석!N19+사창리!N19+대원건설!N19+정윤일!N19+비고1!N19+비고2!N19&gt;0,만두건설!N19+만두토목!N19+홍천서석!N19+사창리!N19+대원건설!N19+정윤일!N19+비고1!N19+비고2!N19,"")</f>
        <v/>
      </c>
      <c r="O19" s="2" t="str">
        <f>IF(만두건설!O19+만두토목!O19+홍천서석!O19+사창리!O19+대원건설!O19+정윤일!O19+비고1!O19+비고2!O19&gt;0,만두건설!O19+만두토목!O19+홍천서석!O19+사창리!O19+대원건설!O19+정윤일!O19+비고1!O19+비고2!O19,"")</f>
        <v/>
      </c>
      <c r="P19" s="2" t="str">
        <f>IF(만두건설!P19+만두토목!P19+홍천서석!P19+사창리!P19+대원건설!P19+정윤일!P19+비고1!P19+비고2!P19&gt;0,만두건설!P19+만두토목!P19+홍천서석!P19+사창리!P19+대원건설!P19+정윤일!P19+비고1!P19+비고2!P19,"")</f>
        <v/>
      </c>
      <c r="Q19" s="2" t="str">
        <f>IF(만두건설!Q19+만두토목!Q19+홍천서석!Q19+사창리!Q19+대원건설!Q19+정윤일!Q19+비고1!Q19+비고2!Q19&gt;0,만두건설!Q19+만두토목!Q19+홍천서석!Q19+사창리!Q19+대원건설!Q19+정윤일!Q19+비고1!Q19+비고2!Q19,"")</f>
        <v/>
      </c>
      <c r="R19" s="2" t="str">
        <f>IF(만두건설!R19+만두토목!R19+홍천서석!R19+사창리!R19+대원건설!R19+정윤일!R19+비고1!R19+비고2!R19&gt;0,만두건설!R19+만두토목!R19+홍천서석!R19+사창리!R19+대원건설!R19+정윤일!R19+비고1!R19+비고2!R19,"")</f>
        <v/>
      </c>
      <c r="S19" s="2" t="str">
        <f>IF(만두건설!S19+만두토목!S19+홍천서석!S19+사창리!S19+대원건설!S19+정윤일!S19+비고1!S19+비고2!S19&gt;0,만두건설!S19+만두토목!S19+홍천서석!S19+사창리!S19+대원건설!S19+정윤일!S19+비고1!S19+비고2!S19,"")</f>
        <v/>
      </c>
      <c r="T19" s="2" t="str">
        <f>IF(만두건설!T19+만두토목!T19+홍천서석!T19+사창리!T19+대원건설!T19+정윤일!T19+비고1!T19+비고2!T19&gt;0,만두건설!T19+만두토목!T19+홍천서석!T19+사창리!T19+대원건설!T19+정윤일!T19+비고1!T19+비고2!T19,"")</f>
        <v/>
      </c>
      <c r="U19" s="2" t="str">
        <f>IF(만두건설!U19+만두토목!U19+홍천서석!U19+사창리!U19+대원건설!U19+정윤일!U19+비고1!U19+비고2!U19&gt;0,만두건설!U19+만두토목!U19+홍천서석!U19+사창리!U19+대원건설!U19+정윤일!U19+비고1!U19+비고2!U19,"")</f>
        <v/>
      </c>
      <c r="V19" s="2" t="str">
        <f>IF(만두건설!V19+만두토목!V19+홍천서석!V19+사창리!V19+대원건설!V19+정윤일!V19+비고1!V19+비고2!V19&gt;0,만두건설!V19+만두토목!V19+홍천서석!V19+사창리!V19+대원건설!V19+정윤일!V19+비고1!V19+비고2!V19,"")</f>
        <v/>
      </c>
      <c r="W19" s="2" t="str">
        <f>IF(만두건설!W19+만두토목!W19+홍천서석!W19+사창리!W19+대원건설!W19+정윤일!W19+비고1!W19+비고2!W19&gt;0,만두건설!W19+만두토목!W19+홍천서석!W19+사창리!W19+대원건설!W19+정윤일!W19+비고1!W19+비고2!W19,"")</f>
        <v/>
      </c>
      <c r="X19" s="2" t="str">
        <f>IF(만두건설!X19+만두토목!X19+홍천서석!X19+사창리!X19+대원건설!X19+정윤일!X19+비고1!X19+비고2!X19&gt;0,만두건설!X19+만두토목!X19+홍천서석!X19+사창리!X19+대원건설!X19+정윤일!X19+비고1!X19+비고2!X19,"")</f>
        <v/>
      </c>
      <c r="Y19" s="2" t="str">
        <f>IF(만두건설!Y19+만두토목!Y19+홍천서석!Y19+사창리!Y19+대원건설!Y19+정윤일!Y19+비고1!Y19+비고2!Y19&gt;0,만두건설!Y19+만두토목!Y19+홍천서석!Y19+사창리!Y19+대원건설!Y19+정윤일!Y19+비고1!Y19+비고2!Y19,"")</f>
        <v/>
      </c>
      <c r="Z19" s="2" t="str">
        <f>IF(만두건설!Z19+만두토목!Z19+홍천서석!Z19+사창리!Z19+대원건설!Z19+정윤일!Z19+비고1!Z19+비고2!Z19&gt;0,만두건설!Z19+만두토목!Z19+홍천서석!Z19+사창리!Z19+대원건설!Z19+정윤일!Z19+비고1!Z19+비고2!Z19,"")</f>
        <v/>
      </c>
      <c r="AA19" s="2" t="str">
        <f>IF(만두건설!AA19+만두토목!AA19+홍천서석!AA19+사창리!AA19+대원건설!AA19+정윤일!AA19+비고1!AA19+비고2!AA19&gt;0,만두건설!AA19+만두토목!AA19+홍천서석!AA19+사창리!AA19+대원건설!AA19+정윤일!AA19+비고1!AA19+비고2!AA19,"")</f>
        <v/>
      </c>
      <c r="AB19" s="2" t="str">
        <f>IF(만두건설!AB19+만두토목!AB19+홍천서석!AB19+사창리!AB19+대원건설!AB19+정윤일!AB19+비고1!AB19+비고2!AB19&gt;0,만두건설!AB19+만두토목!AB19+홍천서석!AB19+사창리!AB19+대원건설!AB19+정윤일!AB19+비고1!AB19+비고2!AB19,"")</f>
        <v/>
      </c>
      <c r="AC19" s="2" t="str">
        <f>IF(만두건설!AC19+만두토목!AC19+홍천서석!AC19+사창리!AC19+대원건설!AC19+정윤일!AC19+비고1!AC19+비고2!AC19&gt;0,만두건설!AC19+만두토목!AC19+홍천서석!AC19+사창리!AC19+대원건설!AC19+정윤일!AC19+비고1!AC19+비고2!AC19,"")</f>
        <v/>
      </c>
      <c r="AD19" s="2" t="str">
        <f>IF(만두건설!AD19+만두토목!AD19+홍천서석!AD19+사창리!AD19+대원건설!AD19+정윤일!AD19+비고1!AD19+비고2!AD19&gt;0,만두건설!AD19+만두토목!AD19+홍천서석!AD19+사창리!AD19+대원건설!AD19+정윤일!AD19+비고1!AD19+비고2!AD19,"")</f>
        <v/>
      </c>
      <c r="AE19" s="2" t="str">
        <f>IF(만두건설!AE19+만두토목!AE19+홍천서석!AE19+사창리!AE19+대원건설!AE19+정윤일!AE19+비고1!AE19+비고2!AE19&gt;0,만두건설!AE19+만두토목!AE19+홍천서석!AE19+사창리!AE19+대원건설!AE19+정윤일!AE19+비고1!AE19+비고2!AE19,"")</f>
        <v/>
      </c>
      <c r="AF19" s="2" t="str">
        <f>IF(만두건설!AF19+만두토목!AF19+홍천서석!AF19+사창리!AF19+대원건설!AF19+정윤일!AF19+비고1!AF19+비고2!AF19&gt;0,만두건설!AF19+만두토목!AF19+홍천서석!AF19+사창리!AF19+대원건설!AF19+정윤일!AF19+비고1!AF19+비고2!AF19,"")</f>
        <v/>
      </c>
      <c r="AG19" s="2" t="str">
        <f>IF(만두건설!AG19+만두토목!AG19+홍천서석!AG19+사창리!AG19+대원건설!AG19+정윤일!AG19+비고1!AG19+비고2!AG19&gt;0,만두건설!AG19+만두토목!AG19+홍천서석!AG19+사창리!AG19+대원건설!AG19+정윤일!AG19+비고1!AG19+비고2!AG19,"")</f>
        <v/>
      </c>
      <c r="AH19" s="2" t="str">
        <f>IF(만두건설!AH19+만두토목!AH19+홍천서석!AH19+사창리!AH19+대원건설!AH19+정윤일!AH19+비고1!AH19+비고2!AH19&gt;0,만두건설!AH19+만두토목!AH19+홍천서석!AH19+사창리!AH19+대원건설!AH19+정윤일!AH19+비고1!AH19+비고2!AH19,"")</f>
        <v/>
      </c>
      <c r="AI19" s="2" t="str">
        <f>IF(만두건설!AI19+만두토목!AI19+홍천서석!AI19+사창리!AI19+대원건설!AI19+정윤일!AI19+비고1!AI19+비고2!AI19&gt;0,만두건설!AI19+만두토목!AI19+홍천서석!AI19+사창리!AI19+대원건설!AI19+정윤일!AI19+비고1!AI19+비고2!AI19,"")</f>
        <v/>
      </c>
      <c r="AJ19" s="2" t="str">
        <f>IF(만두건설!AJ19+만두토목!AJ19+홍천서석!AJ19+사창리!AJ19+대원건설!AJ19+정윤일!AJ19+비고1!AJ19+비고2!AJ19&gt;0,만두건설!AJ19+만두토목!AJ19+홍천서석!AJ19+사창리!AJ19+대원건설!AJ19+정윤일!AJ19+비고1!AJ19+비고2!AJ19,"")</f>
        <v/>
      </c>
      <c r="AK19" s="2" t="str">
        <f>IF(만두건설!AK19+만두토목!AK19+홍천서석!AK19+사창리!AK19+대원건설!AK19+정윤일!AK19+비고1!AK19+비고2!AK19&gt;0,만두건설!AK19+만두토목!AK19+홍천서석!AK19+사창리!AK19+대원건설!AK19+정윤일!AK19+비고1!AK19+비고2!AK19,"")</f>
        <v/>
      </c>
      <c r="AL19" s="4" t="str">
        <f t="shared" si="1"/>
        <v/>
      </c>
      <c r="AM19" s="4"/>
      <c r="AN19" s="4">
        <f t="shared" si="2"/>
        <v>0</v>
      </c>
      <c r="AO19" s="4"/>
      <c r="AP19" s="7" t="str">
        <f>IF(만두건설!AL19&gt;0,만두건설!AL19,"")</f>
        <v/>
      </c>
      <c r="AQ19" s="7"/>
      <c r="AR19" s="7" t="str">
        <f>IF(만두토목!AL19&gt;0,만두토목!AL19,"")</f>
        <v/>
      </c>
      <c r="AS19" s="7"/>
      <c r="AT19" s="7" t="str">
        <f>IF(홍천서석!AL19&gt;0,홍천서석!AL19,"")</f>
        <v/>
      </c>
      <c r="AU19" s="7"/>
      <c r="AV19" s="7" t="str">
        <f>IF(사창리!AL19&gt;0,사창리!AL19,"")</f>
        <v/>
      </c>
      <c r="AW19" s="7"/>
      <c r="AX19" s="7" t="str">
        <f>IF(대원건설!AL19&gt;0,대원건설!AL19,"")</f>
        <v/>
      </c>
      <c r="AY19" s="7"/>
      <c r="AZ19" s="7" t="str">
        <f>IF(정윤일!AL19&gt;0,정윤일!AL19,"")</f>
        <v/>
      </c>
      <c r="BA19" s="7"/>
      <c r="BB19" s="7" t="str">
        <f>IF(비고1!AL19&gt;0,비고1!AL19,"")</f>
        <v/>
      </c>
      <c r="BC19" s="7"/>
      <c r="BD19" s="7" t="str">
        <f>IF(비고2!AL19&gt;0,비고2!AL19,"")</f>
        <v/>
      </c>
      <c r="BE19" s="7"/>
    </row>
    <row r="20" spans="1:57" ht="23.15" customHeight="1" x14ac:dyDescent="0.55000000000000004">
      <c r="A20" s="4">
        <f t="shared" si="0"/>
        <v>15</v>
      </c>
      <c r="B20" s="4"/>
      <c r="C20" s="4" t="s">
        <v>36</v>
      </c>
      <c r="D20" s="4"/>
      <c r="E20" s="4"/>
      <c r="F20" s="4"/>
      <c r="G20" s="2" t="str">
        <f>IF(만두건설!G20+만두토목!G20+홍천서석!G20+사창리!G20+대원건설!G20+정윤일!G20+비고1!G20+비고2!G20&gt;0,만두건설!G20+만두토목!G20+홍천서석!G20+사창리!G20+대원건설!G20+정윤일!G20+비고1!G20+비고2!G20,"")</f>
        <v/>
      </c>
      <c r="H20" s="2" t="str">
        <f>IF(만두건설!H20+만두토목!H20+홍천서석!H20+사창리!H20+대원건설!H20+정윤일!H20+비고1!H20+비고2!H20&gt;0,만두건설!H20+만두토목!H20+홍천서석!H20+사창리!H20+대원건설!H20+정윤일!H20+비고1!H20+비고2!H20,"")</f>
        <v/>
      </c>
      <c r="I20" s="2" t="str">
        <f>IF(만두건설!I20+만두토목!I20+홍천서석!I20+사창리!I20+대원건설!I20+정윤일!I20+비고1!I20+비고2!I20&gt;0,만두건설!I20+만두토목!I20+홍천서석!I20+사창리!I20+대원건설!I20+정윤일!I20+비고1!I20+비고2!I20,"")</f>
        <v/>
      </c>
      <c r="J20" s="2" t="str">
        <f>IF(만두건설!J20+만두토목!J20+홍천서석!J20+사창리!J20+대원건설!J20+정윤일!J20+비고1!J20+비고2!J20&gt;0,만두건설!J20+만두토목!J20+홍천서석!J20+사창리!J20+대원건설!J20+정윤일!J20+비고1!J20+비고2!J20,"")</f>
        <v/>
      </c>
      <c r="K20" s="2" t="str">
        <f>IF(만두건설!K20+만두토목!K20+홍천서석!K20+사창리!K20+대원건설!K20+정윤일!K20+비고1!K20+비고2!K20&gt;0,만두건설!K20+만두토목!K20+홍천서석!K20+사창리!K20+대원건설!K20+정윤일!K20+비고1!K20+비고2!K20,"")</f>
        <v/>
      </c>
      <c r="L20" s="2" t="str">
        <f>IF(만두건설!L20+만두토목!L20+홍천서석!L20+사창리!L20+대원건설!L20+정윤일!L20+비고1!L20+비고2!L20&gt;0,만두건설!L20+만두토목!L20+홍천서석!L20+사창리!L20+대원건설!L20+정윤일!L20+비고1!L20+비고2!L20,"")</f>
        <v/>
      </c>
      <c r="M20" s="2" t="str">
        <f>IF(만두건설!M20+만두토목!M20+홍천서석!M20+사창리!M20+대원건설!M20+정윤일!M20+비고1!M20+비고2!M20&gt;0,만두건설!M20+만두토목!M20+홍천서석!M20+사창리!M20+대원건설!M20+정윤일!M20+비고1!M20+비고2!M20,"")</f>
        <v/>
      </c>
      <c r="N20" s="2" t="str">
        <f>IF(만두건설!N20+만두토목!N20+홍천서석!N20+사창리!N20+대원건설!N20+정윤일!N20+비고1!N20+비고2!N20&gt;0,만두건설!N20+만두토목!N20+홍천서석!N20+사창리!N20+대원건설!N20+정윤일!N20+비고1!N20+비고2!N20,"")</f>
        <v/>
      </c>
      <c r="O20" s="2" t="str">
        <f>IF(만두건설!O20+만두토목!O20+홍천서석!O20+사창리!O20+대원건설!O20+정윤일!O20+비고1!O20+비고2!O20&gt;0,만두건설!O20+만두토목!O20+홍천서석!O20+사창리!O20+대원건설!O20+정윤일!O20+비고1!O20+비고2!O20,"")</f>
        <v/>
      </c>
      <c r="P20" s="2" t="str">
        <f>IF(만두건설!P20+만두토목!P20+홍천서석!P20+사창리!P20+대원건설!P20+정윤일!P20+비고1!P20+비고2!P20&gt;0,만두건설!P20+만두토목!P20+홍천서석!P20+사창리!P20+대원건설!P20+정윤일!P20+비고1!P20+비고2!P20,"")</f>
        <v/>
      </c>
      <c r="Q20" s="2" t="str">
        <f>IF(만두건설!Q20+만두토목!Q20+홍천서석!Q20+사창리!Q20+대원건설!Q20+정윤일!Q20+비고1!Q20+비고2!Q20&gt;0,만두건설!Q20+만두토목!Q20+홍천서석!Q20+사창리!Q20+대원건설!Q20+정윤일!Q20+비고1!Q20+비고2!Q20,"")</f>
        <v/>
      </c>
      <c r="R20" s="2" t="str">
        <f>IF(만두건설!R20+만두토목!R20+홍천서석!R20+사창리!R20+대원건설!R20+정윤일!R20+비고1!R20+비고2!R20&gt;0,만두건설!R20+만두토목!R20+홍천서석!R20+사창리!R20+대원건설!R20+정윤일!R20+비고1!R20+비고2!R20,"")</f>
        <v/>
      </c>
      <c r="S20" s="2" t="str">
        <f>IF(만두건설!S20+만두토목!S20+홍천서석!S20+사창리!S20+대원건설!S20+정윤일!S20+비고1!S20+비고2!S20&gt;0,만두건설!S20+만두토목!S20+홍천서석!S20+사창리!S20+대원건설!S20+정윤일!S20+비고1!S20+비고2!S20,"")</f>
        <v/>
      </c>
      <c r="T20" s="2" t="str">
        <f>IF(만두건설!T20+만두토목!T20+홍천서석!T20+사창리!T20+대원건설!T20+정윤일!T20+비고1!T20+비고2!T20&gt;0,만두건설!T20+만두토목!T20+홍천서석!T20+사창리!T20+대원건설!T20+정윤일!T20+비고1!T20+비고2!T20,"")</f>
        <v/>
      </c>
      <c r="U20" s="2" t="str">
        <f>IF(만두건설!U20+만두토목!U20+홍천서석!U20+사창리!U20+대원건설!U20+정윤일!U20+비고1!U20+비고2!U20&gt;0,만두건설!U20+만두토목!U20+홍천서석!U20+사창리!U20+대원건설!U20+정윤일!U20+비고1!U20+비고2!U20,"")</f>
        <v/>
      </c>
      <c r="V20" s="2" t="str">
        <f>IF(만두건설!V20+만두토목!V20+홍천서석!V20+사창리!V20+대원건설!V20+정윤일!V20+비고1!V20+비고2!V20&gt;0,만두건설!V20+만두토목!V20+홍천서석!V20+사창리!V20+대원건설!V20+정윤일!V20+비고1!V20+비고2!V20,"")</f>
        <v/>
      </c>
      <c r="W20" s="2" t="str">
        <f>IF(만두건설!W20+만두토목!W20+홍천서석!W20+사창리!W20+대원건설!W20+정윤일!W20+비고1!W20+비고2!W20&gt;0,만두건설!W20+만두토목!W20+홍천서석!W20+사창리!W20+대원건설!W20+정윤일!W20+비고1!W20+비고2!W20,"")</f>
        <v/>
      </c>
      <c r="X20" s="2" t="str">
        <f>IF(만두건설!X20+만두토목!X20+홍천서석!X20+사창리!X20+대원건설!X20+정윤일!X20+비고1!X20+비고2!X20&gt;0,만두건설!X20+만두토목!X20+홍천서석!X20+사창리!X20+대원건설!X20+정윤일!X20+비고1!X20+비고2!X20,"")</f>
        <v/>
      </c>
      <c r="Y20" s="2" t="str">
        <f>IF(만두건설!Y20+만두토목!Y20+홍천서석!Y20+사창리!Y20+대원건설!Y20+정윤일!Y20+비고1!Y20+비고2!Y20&gt;0,만두건설!Y20+만두토목!Y20+홍천서석!Y20+사창리!Y20+대원건설!Y20+정윤일!Y20+비고1!Y20+비고2!Y20,"")</f>
        <v/>
      </c>
      <c r="Z20" s="2" t="str">
        <f>IF(만두건설!Z20+만두토목!Z20+홍천서석!Z20+사창리!Z20+대원건설!Z20+정윤일!Z20+비고1!Z20+비고2!Z20&gt;0,만두건설!Z20+만두토목!Z20+홍천서석!Z20+사창리!Z20+대원건설!Z20+정윤일!Z20+비고1!Z20+비고2!Z20,"")</f>
        <v/>
      </c>
      <c r="AA20" s="2" t="str">
        <f>IF(만두건설!AA20+만두토목!AA20+홍천서석!AA20+사창리!AA20+대원건설!AA20+정윤일!AA20+비고1!AA20+비고2!AA20&gt;0,만두건설!AA20+만두토목!AA20+홍천서석!AA20+사창리!AA20+대원건설!AA20+정윤일!AA20+비고1!AA20+비고2!AA20,"")</f>
        <v/>
      </c>
      <c r="AB20" s="2" t="str">
        <f>IF(만두건설!AB20+만두토목!AB20+홍천서석!AB20+사창리!AB20+대원건설!AB20+정윤일!AB20+비고1!AB20+비고2!AB20&gt;0,만두건설!AB20+만두토목!AB20+홍천서석!AB20+사창리!AB20+대원건설!AB20+정윤일!AB20+비고1!AB20+비고2!AB20,"")</f>
        <v/>
      </c>
      <c r="AC20" s="2" t="str">
        <f>IF(만두건설!AC20+만두토목!AC20+홍천서석!AC20+사창리!AC20+대원건설!AC20+정윤일!AC20+비고1!AC20+비고2!AC20&gt;0,만두건설!AC20+만두토목!AC20+홍천서석!AC20+사창리!AC20+대원건설!AC20+정윤일!AC20+비고1!AC20+비고2!AC20,"")</f>
        <v/>
      </c>
      <c r="AD20" s="2" t="str">
        <f>IF(만두건설!AD20+만두토목!AD20+홍천서석!AD20+사창리!AD20+대원건설!AD20+정윤일!AD20+비고1!AD20+비고2!AD20&gt;0,만두건설!AD20+만두토목!AD20+홍천서석!AD20+사창리!AD20+대원건설!AD20+정윤일!AD20+비고1!AD20+비고2!AD20,"")</f>
        <v/>
      </c>
      <c r="AE20" s="2" t="str">
        <f>IF(만두건설!AE20+만두토목!AE20+홍천서석!AE20+사창리!AE20+대원건설!AE20+정윤일!AE20+비고1!AE20+비고2!AE20&gt;0,만두건설!AE20+만두토목!AE20+홍천서석!AE20+사창리!AE20+대원건설!AE20+정윤일!AE20+비고1!AE20+비고2!AE20,"")</f>
        <v/>
      </c>
      <c r="AF20" s="2" t="str">
        <f>IF(만두건설!AF20+만두토목!AF20+홍천서석!AF20+사창리!AF20+대원건설!AF20+정윤일!AF20+비고1!AF20+비고2!AF20&gt;0,만두건설!AF20+만두토목!AF20+홍천서석!AF20+사창리!AF20+대원건설!AF20+정윤일!AF20+비고1!AF20+비고2!AF20,"")</f>
        <v/>
      </c>
      <c r="AG20" s="2" t="str">
        <f>IF(만두건설!AG20+만두토목!AG20+홍천서석!AG20+사창리!AG20+대원건설!AG20+정윤일!AG20+비고1!AG20+비고2!AG20&gt;0,만두건설!AG20+만두토목!AG20+홍천서석!AG20+사창리!AG20+대원건설!AG20+정윤일!AG20+비고1!AG20+비고2!AG20,"")</f>
        <v/>
      </c>
      <c r="AH20" s="2" t="str">
        <f>IF(만두건설!AH20+만두토목!AH20+홍천서석!AH20+사창리!AH20+대원건설!AH20+정윤일!AH20+비고1!AH20+비고2!AH20&gt;0,만두건설!AH20+만두토목!AH20+홍천서석!AH20+사창리!AH20+대원건설!AH20+정윤일!AH20+비고1!AH20+비고2!AH20,"")</f>
        <v/>
      </c>
      <c r="AI20" s="2" t="str">
        <f>IF(만두건설!AI20+만두토목!AI20+홍천서석!AI20+사창리!AI20+대원건설!AI20+정윤일!AI20+비고1!AI20+비고2!AI20&gt;0,만두건설!AI20+만두토목!AI20+홍천서석!AI20+사창리!AI20+대원건설!AI20+정윤일!AI20+비고1!AI20+비고2!AI20,"")</f>
        <v/>
      </c>
      <c r="AJ20" s="2" t="str">
        <f>IF(만두건설!AJ20+만두토목!AJ20+홍천서석!AJ20+사창리!AJ20+대원건설!AJ20+정윤일!AJ20+비고1!AJ20+비고2!AJ20&gt;0,만두건설!AJ20+만두토목!AJ20+홍천서석!AJ20+사창리!AJ20+대원건설!AJ20+정윤일!AJ20+비고1!AJ20+비고2!AJ20,"")</f>
        <v/>
      </c>
      <c r="AK20" s="2" t="str">
        <f>IF(만두건설!AK20+만두토목!AK20+홍천서석!AK20+사창리!AK20+대원건설!AK20+정윤일!AK20+비고1!AK20+비고2!AK20&gt;0,만두건설!AK20+만두토목!AK20+홍천서석!AK20+사창리!AK20+대원건설!AK20+정윤일!AK20+비고1!AK20+비고2!AK20,"")</f>
        <v/>
      </c>
      <c r="AL20" s="4" t="str">
        <f t="shared" si="1"/>
        <v/>
      </c>
      <c r="AM20" s="4"/>
      <c r="AN20" s="4">
        <f t="shared" si="2"/>
        <v>0</v>
      </c>
      <c r="AO20" s="4"/>
      <c r="AP20" s="7" t="str">
        <f>IF(만두건설!AL20&gt;0,만두건설!AL20,"")</f>
        <v/>
      </c>
      <c r="AQ20" s="7"/>
      <c r="AR20" s="7" t="str">
        <f>IF(만두토목!AL20&gt;0,만두토목!AL20,"")</f>
        <v/>
      </c>
      <c r="AS20" s="7"/>
      <c r="AT20" s="7" t="str">
        <f>IF(홍천서석!AL20&gt;0,홍천서석!AL20,"")</f>
        <v/>
      </c>
      <c r="AU20" s="7"/>
      <c r="AV20" s="7" t="str">
        <f>IF(사창리!AL20&gt;0,사창리!AL20,"")</f>
        <v/>
      </c>
      <c r="AW20" s="7"/>
      <c r="AX20" s="7" t="str">
        <f>IF(대원건설!AL20&gt;0,대원건설!AL20,"")</f>
        <v/>
      </c>
      <c r="AY20" s="7"/>
      <c r="AZ20" s="7" t="str">
        <f>IF(정윤일!AL20&gt;0,정윤일!AL20,"")</f>
        <v/>
      </c>
      <c r="BA20" s="7"/>
      <c r="BB20" s="7" t="str">
        <f>IF(비고1!AL20&gt;0,비고1!AL20,"")</f>
        <v/>
      </c>
      <c r="BC20" s="7"/>
      <c r="BD20" s="7" t="str">
        <f>IF(비고2!AL20&gt;0,비고2!AL20,"")</f>
        <v/>
      </c>
      <c r="BE20" s="7"/>
    </row>
    <row r="21" spans="1:57" ht="23.15" customHeight="1" x14ac:dyDescent="0.55000000000000004">
      <c r="A21" s="4">
        <f t="shared" si="0"/>
        <v>16</v>
      </c>
      <c r="B21" s="4"/>
      <c r="C21" s="4" t="s">
        <v>37</v>
      </c>
      <c r="D21" s="4"/>
      <c r="E21" s="4"/>
      <c r="F21" s="4"/>
      <c r="G21" s="2" t="str">
        <f>IF(만두건설!G21+만두토목!G21+홍천서석!G21+사창리!G21+대원건설!G21+정윤일!G21+비고1!G21+비고2!G21&gt;0,만두건설!G21+만두토목!G21+홍천서석!G21+사창리!G21+대원건설!G21+정윤일!G21+비고1!G21+비고2!G21,"")</f>
        <v/>
      </c>
      <c r="H21" s="2" t="str">
        <f>IF(만두건설!H21+만두토목!H21+홍천서석!H21+사창리!H21+대원건설!H21+정윤일!H21+비고1!H21+비고2!H21&gt;0,만두건설!H21+만두토목!H21+홍천서석!H21+사창리!H21+대원건설!H21+정윤일!H21+비고1!H21+비고2!H21,"")</f>
        <v/>
      </c>
      <c r="I21" s="2" t="str">
        <f>IF(만두건설!I21+만두토목!I21+홍천서석!I21+사창리!I21+대원건설!I21+정윤일!I21+비고1!I21+비고2!I21&gt;0,만두건설!I21+만두토목!I21+홍천서석!I21+사창리!I21+대원건설!I21+정윤일!I21+비고1!I21+비고2!I21,"")</f>
        <v/>
      </c>
      <c r="J21" s="2" t="str">
        <f>IF(만두건설!J21+만두토목!J21+홍천서석!J21+사창리!J21+대원건설!J21+정윤일!J21+비고1!J21+비고2!J21&gt;0,만두건설!J21+만두토목!J21+홍천서석!J21+사창리!J21+대원건설!J21+정윤일!J21+비고1!J21+비고2!J21,"")</f>
        <v/>
      </c>
      <c r="K21" s="2" t="str">
        <f>IF(만두건설!K21+만두토목!K21+홍천서석!K21+사창리!K21+대원건설!K21+정윤일!K21+비고1!K21+비고2!K21&gt;0,만두건설!K21+만두토목!K21+홍천서석!K21+사창리!K21+대원건설!K21+정윤일!K21+비고1!K21+비고2!K21,"")</f>
        <v/>
      </c>
      <c r="L21" s="2" t="str">
        <f>IF(만두건설!L21+만두토목!L21+홍천서석!L21+사창리!L21+대원건설!L21+정윤일!L21+비고1!L21+비고2!L21&gt;0,만두건설!L21+만두토목!L21+홍천서석!L21+사창리!L21+대원건설!L21+정윤일!L21+비고1!L21+비고2!L21,"")</f>
        <v/>
      </c>
      <c r="M21" s="2" t="str">
        <f>IF(만두건설!M21+만두토목!M21+홍천서석!M21+사창리!M21+대원건설!M21+정윤일!M21+비고1!M21+비고2!M21&gt;0,만두건설!M21+만두토목!M21+홍천서석!M21+사창리!M21+대원건설!M21+정윤일!M21+비고1!M21+비고2!M21,"")</f>
        <v/>
      </c>
      <c r="N21" s="2" t="str">
        <f>IF(만두건설!N21+만두토목!N21+홍천서석!N21+사창리!N21+대원건설!N21+정윤일!N21+비고1!N21+비고2!N21&gt;0,만두건설!N21+만두토목!N21+홍천서석!N21+사창리!N21+대원건설!N21+정윤일!N21+비고1!N21+비고2!N21,"")</f>
        <v/>
      </c>
      <c r="O21" s="2" t="str">
        <f>IF(만두건설!O21+만두토목!O21+홍천서석!O21+사창리!O21+대원건설!O21+정윤일!O21+비고1!O21+비고2!O21&gt;0,만두건설!O21+만두토목!O21+홍천서석!O21+사창리!O21+대원건설!O21+정윤일!O21+비고1!O21+비고2!O21,"")</f>
        <v/>
      </c>
      <c r="P21" s="2" t="str">
        <f>IF(만두건설!P21+만두토목!P21+홍천서석!P21+사창리!P21+대원건설!P21+정윤일!P21+비고1!P21+비고2!P21&gt;0,만두건설!P21+만두토목!P21+홍천서석!P21+사창리!P21+대원건설!P21+정윤일!P21+비고1!P21+비고2!P21,"")</f>
        <v/>
      </c>
      <c r="Q21" s="2" t="str">
        <f>IF(만두건설!Q21+만두토목!Q21+홍천서석!Q21+사창리!Q21+대원건설!Q21+정윤일!Q21+비고1!Q21+비고2!Q21&gt;0,만두건설!Q21+만두토목!Q21+홍천서석!Q21+사창리!Q21+대원건설!Q21+정윤일!Q21+비고1!Q21+비고2!Q21,"")</f>
        <v/>
      </c>
      <c r="R21" s="2" t="str">
        <f>IF(만두건설!R21+만두토목!R21+홍천서석!R21+사창리!R21+대원건설!R21+정윤일!R21+비고1!R21+비고2!R21&gt;0,만두건설!R21+만두토목!R21+홍천서석!R21+사창리!R21+대원건설!R21+정윤일!R21+비고1!R21+비고2!R21,"")</f>
        <v/>
      </c>
      <c r="S21" s="2" t="str">
        <f>IF(만두건설!S21+만두토목!S21+홍천서석!S21+사창리!S21+대원건설!S21+정윤일!S21+비고1!S21+비고2!S21&gt;0,만두건설!S21+만두토목!S21+홍천서석!S21+사창리!S21+대원건설!S21+정윤일!S21+비고1!S21+비고2!S21,"")</f>
        <v/>
      </c>
      <c r="T21" s="2" t="str">
        <f>IF(만두건설!T21+만두토목!T21+홍천서석!T21+사창리!T21+대원건설!T21+정윤일!T21+비고1!T21+비고2!T21&gt;0,만두건설!T21+만두토목!T21+홍천서석!T21+사창리!T21+대원건설!T21+정윤일!T21+비고1!T21+비고2!T21,"")</f>
        <v/>
      </c>
      <c r="U21" s="2" t="str">
        <f>IF(만두건설!U21+만두토목!U21+홍천서석!U21+사창리!U21+대원건설!U21+정윤일!U21+비고1!U21+비고2!U21&gt;0,만두건설!U21+만두토목!U21+홍천서석!U21+사창리!U21+대원건설!U21+정윤일!U21+비고1!U21+비고2!U21,"")</f>
        <v/>
      </c>
      <c r="V21" s="2" t="str">
        <f>IF(만두건설!V21+만두토목!V21+홍천서석!V21+사창리!V21+대원건설!V21+정윤일!V21+비고1!V21+비고2!V21&gt;0,만두건설!V21+만두토목!V21+홍천서석!V21+사창리!V21+대원건설!V21+정윤일!V21+비고1!V21+비고2!V21,"")</f>
        <v/>
      </c>
      <c r="W21" s="2" t="str">
        <f>IF(만두건설!W21+만두토목!W21+홍천서석!W21+사창리!W21+대원건설!W21+정윤일!W21+비고1!W21+비고2!W21&gt;0,만두건설!W21+만두토목!W21+홍천서석!W21+사창리!W21+대원건설!W21+정윤일!W21+비고1!W21+비고2!W21,"")</f>
        <v/>
      </c>
      <c r="X21" s="2" t="str">
        <f>IF(만두건설!X21+만두토목!X21+홍천서석!X21+사창리!X21+대원건설!X21+정윤일!X21+비고1!X21+비고2!X21&gt;0,만두건설!X21+만두토목!X21+홍천서석!X21+사창리!X21+대원건설!X21+정윤일!X21+비고1!X21+비고2!X21,"")</f>
        <v/>
      </c>
      <c r="Y21" s="2" t="str">
        <f>IF(만두건설!Y21+만두토목!Y21+홍천서석!Y21+사창리!Y21+대원건설!Y21+정윤일!Y21+비고1!Y21+비고2!Y21&gt;0,만두건설!Y21+만두토목!Y21+홍천서석!Y21+사창리!Y21+대원건설!Y21+정윤일!Y21+비고1!Y21+비고2!Y21,"")</f>
        <v/>
      </c>
      <c r="Z21" s="2" t="str">
        <f>IF(만두건설!Z21+만두토목!Z21+홍천서석!Z21+사창리!Z21+대원건설!Z21+정윤일!Z21+비고1!Z21+비고2!Z21&gt;0,만두건설!Z21+만두토목!Z21+홍천서석!Z21+사창리!Z21+대원건설!Z21+정윤일!Z21+비고1!Z21+비고2!Z21,"")</f>
        <v/>
      </c>
      <c r="AA21" s="2" t="str">
        <f>IF(만두건설!AA21+만두토목!AA21+홍천서석!AA21+사창리!AA21+대원건설!AA21+정윤일!AA21+비고1!AA21+비고2!AA21&gt;0,만두건설!AA21+만두토목!AA21+홍천서석!AA21+사창리!AA21+대원건설!AA21+정윤일!AA21+비고1!AA21+비고2!AA21,"")</f>
        <v/>
      </c>
      <c r="AB21" s="2" t="str">
        <f>IF(만두건설!AB21+만두토목!AB21+홍천서석!AB21+사창리!AB21+대원건설!AB21+정윤일!AB21+비고1!AB21+비고2!AB21&gt;0,만두건설!AB21+만두토목!AB21+홍천서석!AB21+사창리!AB21+대원건설!AB21+정윤일!AB21+비고1!AB21+비고2!AB21,"")</f>
        <v/>
      </c>
      <c r="AC21" s="2" t="str">
        <f>IF(만두건설!AC21+만두토목!AC21+홍천서석!AC21+사창리!AC21+대원건설!AC21+정윤일!AC21+비고1!AC21+비고2!AC21&gt;0,만두건설!AC21+만두토목!AC21+홍천서석!AC21+사창리!AC21+대원건설!AC21+정윤일!AC21+비고1!AC21+비고2!AC21,"")</f>
        <v/>
      </c>
      <c r="AD21" s="2" t="str">
        <f>IF(만두건설!AD21+만두토목!AD21+홍천서석!AD21+사창리!AD21+대원건설!AD21+정윤일!AD21+비고1!AD21+비고2!AD21&gt;0,만두건설!AD21+만두토목!AD21+홍천서석!AD21+사창리!AD21+대원건설!AD21+정윤일!AD21+비고1!AD21+비고2!AD21,"")</f>
        <v/>
      </c>
      <c r="AE21" s="2" t="str">
        <f>IF(만두건설!AE21+만두토목!AE21+홍천서석!AE21+사창리!AE21+대원건설!AE21+정윤일!AE21+비고1!AE21+비고2!AE21&gt;0,만두건설!AE21+만두토목!AE21+홍천서석!AE21+사창리!AE21+대원건설!AE21+정윤일!AE21+비고1!AE21+비고2!AE21,"")</f>
        <v/>
      </c>
      <c r="AF21" s="2" t="str">
        <f>IF(만두건설!AF21+만두토목!AF21+홍천서석!AF21+사창리!AF21+대원건설!AF21+정윤일!AF21+비고1!AF21+비고2!AF21&gt;0,만두건설!AF21+만두토목!AF21+홍천서석!AF21+사창리!AF21+대원건설!AF21+정윤일!AF21+비고1!AF21+비고2!AF21,"")</f>
        <v/>
      </c>
      <c r="AG21" s="2" t="str">
        <f>IF(만두건설!AG21+만두토목!AG21+홍천서석!AG21+사창리!AG21+대원건설!AG21+정윤일!AG21+비고1!AG21+비고2!AG21&gt;0,만두건설!AG21+만두토목!AG21+홍천서석!AG21+사창리!AG21+대원건설!AG21+정윤일!AG21+비고1!AG21+비고2!AG21,"")</f>
        <v/>
      </c>
      <c r="AH21" s="2" t="str">
        <f>IF(만두건설!AH21+만두토목!AH21+홍천서석!AH21+사창리!AH21+대원건설!AH21+정윤일!AH21+비고1!AH21+비고2!AH21&gt;0,만두건설!AH21+만두토목!AH21+홍천서석!AH21+사창리!AH21+대원건설!AH21+정윤일!AH21+비고1!AH21+비고2!AH21,"")</f>
        <v/>
      </c>
      <c r="AI21" s="2" t="str">
        <f>IF(만두건설!AI21+만두토목!AI21+홍천서석!AI21+사창리!AI21+대원건설!AI21+정윤일!AI21+비고1!AI21+비고2!AI21&gt;0,만두건설!AI21+만두토목!AI21+홍천서석!AI21+사창리!AI21+대원건설!AI21+정윤일!AI21+비고1!AI21+비고2!AI21,"")</f>
        <v/>
      </c>
      <c r="AJ21" s="2" t="str">
        <f>IF(만두건설!AJ21+만두토목!AJ21+홍천서석!AJ21+사창리!AJ21+대원건설!AJ21+정윤일!AJ21+비고1!AJ21+비고2!AJ21&gt;0,만두건설!AJ21+만두토목!AJ21+홍천서석!AJ21+사창리!AJ21+대원건설!AJ21+정윤일!AJ21+비고1!AJ21+비고2!AJ21,"")</f>
        <v/>
      </c>
      <c r="AK21" s="2" t="str">
        <f>IF(만두건설!AK21+만두토목!AK21+홍천서석!AK21+사창리!AK21+대원건설!AK21+정윤일!AK21+비고1!AK21+비고2!AK21&gt;0,만두건설!AK21+만두토목!AK21+홍천서석!AK21+사창리!AK21+대원건설!AK21+정윤일!AK21+비고1!AK21+비고2!AK21,"")</f>
        <v/>
      </c>
      <c r="AL21" s="4" t="str">
        <f t="shared" si="1"/>
        <v/>
      </c>
      <c r="AM21" s="4"/>
      <c r="AN21" s="4">
        <f t="shared" si="2"/>
        <v>0</v>
      </c>
      <c r="AO21" s="4"/>
      <c r="AP21" s="7" t="str">
        <f>IF(만두건설!AL21&gt;0,만두건설!AL21,"")</f>
        <v/>
      </c>
      <c r="AQ21" s="7"/>
      <c r="AR21" s="7" t="str">
        <f>IF(만두토목!AL21&gt;0,만두토목!AL21,"")</f>
        <v/>
      </c>
      <c r="AS21" s="7"/>
      <c r="AT21" s="7" t="str">
        <f>IF(홍천서석!AL21&gt;0,홍천서석!AL21,"")</f>
        <v/>
      </c>
      <c r="AU21" s="7"/>
      <c r="AV21" s="7" t="str">
        <f>IF(사창리!AL21&gt;0,사창리!AL21,"")</f>
        <v/>
      </c>
      <c r="AW21" s="7"/>
      <c r="AX21" s="7" t="str">
        <f>IF(대원건설!AL21&gt;0,대원건설!AL21,"")</f>
        <v/>
      </c>
      <c r="AY21" s="7"/>
      <c r="AZ21" s="7" t="str">
        <f>IF(정윤일!AL21&gt;0,정윤일!AL21,"")</f>
        <v/>
      </c>
      <c r="BA21" s="7"/>
      <c r="BB21" s="7" t="str">
        <f>IF(비고1!AL21&gt;0,비고1!AL21,"")</f>
        <v/>
      </c>
      <c r="BC21" s="7"/>
      <c r="BD21" s="7" t="str">
        <f>IF(비고2!AL21&gt;0,비고2!AL21,"")</f>
        <v/>
      </c>
      <c r="BE21" s="7"/>
    </row>
    <row r="22" spans="1:57" ht="23.15" customHeight="1" x14ac:dyDescent="0.55000000000000004">
      <c r="A22" s="4">
        <f t="shared" si="0"/>
        <v>17</v>
      </c>
      <c r="B22" s="4"/>
      <c r="C22" s="4" t="s">
        <v>38</v>
      </c>
      <c r="D22" s="4"/>
      <c r="E22" s="4"/>
      <c r="F22" s="4"/>
      <c r="G22" s="2" t="str">
        <f>IF(만두건설!G22+만두토목!G22+홍천서석!G22+사창리!G22+대원건설!G22+정윤일!G22+비고1!G22+비고2!G22&gt;0,만두건설!G22+만두토목!G22+홍천서석!G22+사창리!G22+대원건설!G22+정윤일!G22+비고1!G22+비고2!G22,"")</f>
        <v/>
      </c>
      <c r="H22" s="2" t="str">
        <f>IF(만두건설!H22+만두토목!H22+홍천서석!H22+사창리!H22+대원건설!H22+정윤일!H22+비고1!H22+비고2!H22&gt;0,만두건설!H22+만두토목!H22+홍천서석!H22+사창리!H22+대원건설!H22+정윤일!H22+비고1!H22+비고2!H22,"")</f>
        <v/>
      </c>
      <c r="I22" s="2" t="str">
        <f>IF(만두건설!I22+만두토목!I22+홍천서석!I22+사창리!I22+대원건설!I22+정윤일!I22+비고1!I22+비고2!I22&gt;0,만두건설!I22+만두토목!I22+홍천서석!I22+사창리!I22+대원건설!I22+정윤일!I22+비고1!I22+비고2!I22,"")</f>
        <v/>
      </c>
      <c r="J22" s="2" t="str">
        <f>IF(만두건설!J22+만두토목!J22+홍천서석!J22+사창리!J22+대원건설!J22+정윤일!J22+비고1!J22+비고2!J22&gt;0,만두건설!J22+만두토목!J22+홍천서석!J22+사창리!J22+대원건설!J22+정윤일!J22+비고1!J22+비고2!J22,"")</f>
        <v/>
      </c>
      <c r="K22" s="2" t="str">
        <f>IF(만두건설!K22+만두토목!K22+홍천서석!K22+사창리!K22+대원건설!K22+정윤일!K22+비고1!K22+비고2!K22&gt;0,만두건설!K22+만두토목!K22+홍천서석!K22+사창리!K22+대원건설!K22+정윤일!K22+비고1!K22+비고2!K22,"")</f>
        <v/>
      </c>
      <c r="L22" s="2" t="str">
        <f>IF(만두건설!L22+만두토목!L22+홍천서석!L22+사창리!L22+대원건설!L22+정윤일!L22+비고1!L22+비고2!L22&gt;0,만두건설!L22+만두토목!L22+홍천서석!L22+사창리!L22+대원건설!L22+정윤일!L22+비고1!L22+비고2!L22,"")</f>
        <v/>
      </c>
      <c r="M22" s="2" t="str">
        <f>IF(만두건설!M22+만두토목!M22+홍천서석!M22+사창리!M22+대원건설!M22+정윤일!M22+비고1!M22+비고2!M22&gt;0,만두건설!M22+만두토목!M22+홍천서석!M22+사창리!M22+대원건설!M22+정윤일!M22+비고1!M22+비고2!M22,"")</f>
        <v/>
      </c>
      <c r="N22" s="2" t="str">
        <f>IF(만두건설!N22+만두토목!N22+홍천서석!N22+사창리!N22+대원건설!N22+정윤일!N22+비고1!N22+비고2!N22&gt;0,만두건설!N22+만두토목!N22+홍천서석!N22+사창리!N22+대원건설!N22+정윤일!N22+비고1!N22+비고2!N22,"")</f>
        <v/>
      </c>
      <c r="O22" s="2" t="str">
        <f>IF(만두건설!O22+만두토목!O22+홍천서석!O22+사창리!O22+대원건설!O22+정윤일!O22+비고1!O22+비고2!O22&gt;0,만두건설!O22+만두토목!O22+홍천서석!O22+사창리!O22+대원건설!O22+정윤일!O22+비고1!O22+비고2!O22,"")</f>
        <v/>
      </c>
      <c r="P22" s="2" t="str">
        <f>IF(만두건설!P22+만두토목!P22+홍천서석!P22+사창리!P22+대원건설!P22+정윤일!P22+비고1!P22+비고2!P22&gt;0,만두건설!P22+만두토목!P22+홍천서석!P22+사창리!P22+대원건설!P22+정윤일!P22+비고1!P22+비고2!P22,"")</f>
        <v/>
      </c>
      <c r="Q22" s="2" t="str">
        <f>IF(만두건설!Q22+만두토목!Q22+홍천서석!Q22+사창리!Q22+대원건설!Q22+정윤일!Q22+비고1!Q22+비고2!Q22&gt;0,만두건설!Q22+만두토목!Q22+홍천서석!Q22+사창리!Q22+대원건설!Q22+정윤일!Q22+비고1!Q22+비고2!Q22,"")</f>
        <v/>
      </c>
      <c r="R22" s="2" t="str">
        <f>IF(만두건설!R22+만두토목!R22+홍천서석!R22+사창리!R22+대원건설!R22+정윤일!R22+비고1!R22+비고2!R22&gt;0,만두건설!R22+만두토목!R22+홍천서석!R22+사창리!R22+대원건설!R22+정윤일!R22+비고1!R22+비고2!R22,"")</f>
        <v/>
      </c>
      <c r="S22" s="2" t="str">
        <f>IF(만두건설!S22+만두토목!S22+홍천서석!S22+사창리!S22+대원건설!S22+정윤일!S22+비고1!S22+비고2!S22&gt;0,만두건설!S22+만두토목!S22+홍천서석!S22+사창리!S22+대원건설!S22+정윤일!S22+비고1!S22+비고2!S22,"")</f>
        <v/>
      </c>
      <c r="T22" s="2" t="str">
        <f>IF(만두건설!T22+만두토목!T22+홍천서석!T22+사창리!T22+대원건설!T22+정윤일!T22+비고1!T22+비고2!T22&gt;0,만두건설!T22+만두토목!T22+홍천서석!T22+사창리!T22+대원건설!T22+정윤일!T22+비고1!T22+비고2!T22,"")</f>
        <v/>
      </c>
      <c r="U22" s="2" t="str">
        <f>IF(만두건설!U22+만두토목!U22+홍천서석!U22+사창리!U22+대원건설!U22+정윤일!U22+비고1!U22+비고2!U22&gt;0,만두건설!U22+만두토목!U22+홍천서석!U22+사창리!U22+대원건설!U22+정윤일!U22+비고1!U22+비고2!U22,"")</f>
        <v/>
      </c>
      <c r="V22" s="2" t="str">
        <f>IF(만두건설!V22+만두토목!V22+홍천서석!V22+사창리!V22+대원건설!V22+정윤일!V22+비고1!V22+비고2!V22&gt;0,만두건설!V22+만두토목!V22+홍천서석!V22+사창리!V22+대원건설!V22+정윤일!V22+비고1!V22+비고2!V22,"")</f>
        <v/>
      </c>
      <c r="W22" s="2" t="str">
        <f>IF(만두건설!W22+만두토목!W22+홍천서석!W22+사창리!W22+대원건설!W22+정윤일!W22+비고1!W22+비고2!W22&gt;0,만두건설!W22+만두토목!W22+홍천서석!W22+사창리!W22+대원건설!W22+정윤일!W22+비고1!W22+비고2!W22,"")</f>
        <v/>
      </c>
      <c r="X22" s="2" t="str">
        <f>IF(만두건설!X22+만두토목!X22+홍천서석!X22+사창리!X22+대원건설!X22+정윤일!X22+비고1!X22+비고2!X22&gt;0,만두건설!X22+만두토목!X22+홍천서석!X22+사창리!X22+대원건설!X22+정윤일!X22+비고1!X22+비고2!X22,"")</f>
        <v/>
      </c>
      <c r="Y22" s="2" t="str">
        <f>IF(만두건설!Y22+만두토목!Y22+홍천서석!Y22+사창리!Y22+대원건설!Y22+정윤일!Y22+비고1!Y22+비고2!Y22&gt;0,만두건설!Y22+만두토목!Y22+홍천서석!Y22+사창리!Y22+대원건설!Y22+정윤일!Y22+비고1!Y22+비고2!Y22,"")</f>
        <v/>
      </c>
      <c r="Z22" s="2" t="str">
        <f>IF(만두건설!Z22+만두토목!Z22+홍천서석!Z22+사창리!Z22+대원건설!Z22+정윤일!Z22+비고1!Z22+비고2!Z22&gt;0,만두건설!Z22+만두토목!Z22+홍천서석!Z22+사창리!Z22+대원건설!Z22+정윤일!Z22+비고1!Z22+비고2!Z22,"")</f>
        <v/>
      </c>
      <c r="AA22" s="2" t="str">
        <f>IF(만두건설!AA22+만두토목!AA22+홍천서석!AA22+사창리!AA22+대원건설!AA22+정윤일!AA22+비고1!AA22+비고2!AA22&gt;0,만두건설!AA22+만두토목!AA22+홍천서석!AA22+사창리!AA22+대원건설!AA22+정윤일!AA22+비고1!AA22+비고2!AA22,"")</f>
        <v/>
      </c>
      <c r="AB22" s="2" t="str">
        <f>IF(만두건설!AB22+만두토목!AB22+홍천서석!AB22+사창리!AB22+대원건설!AB22+정윤일!AB22+비고1!AB22+비고2!AB22&gt;0,만두건설!AB22+만두토목!AB22+홍천서석!AB22+사창리!AB22+대원건설!AB22+정윤일!AB22+비고1!AB22+비고2!AB22,"")</f>
        <v/>
      </c>
      <c r="AC22" s="2" t="str">
        <f>IF(만두건설!AC22+만두토목!AC22+홍천서석!AC22+사창리!AC22+대원건설!AC22+정윤일!AC22+비고1!AC22+비고2!AC22&gt;0,만두건설!AC22+만두토목!AC22+홍천서석!AC22+사창리!AC22+대원건설!AC22+정윤일!AC22+비고1!AC22+비고2!AC22,"")</f>
        <v/>
      </c>
      <c r="AD22" s="2" t="str">
        <f>IF(만두건설!AD22+만두토목!AD22+홍천서석!AD22+사창리!AD22+대원건설!AD22+정윤일!AD22+비고1!AD22+비고2!AD22&gt;0,만두건설!AD22+만두토목!AD22+홍천서석!AD22+사창리!AD22+대원건설!AD22+정윤일!AD22+비고1!AD22+비고2!AD22,"")</f>
        <v/>
      </c>
      <c r="AE22" s="2" t="str">
        <f>IF(만두건설!AE22+만두토목!AE22+홍천서석!AE22+사창리!AE22+대원건설!AE22+정윤일!AE22+비고1!AE22+비고2!AE22&gt;0,만두건설!AE22+만두토목!AE22+홍천서석!AE22+사창리!AE22+대원건설!AE22+정윤일!AE22+비고1!AE22+비고2!AE22,"")</f>
        <v/>
      </c>
      <c r="AF22" s="2" t="str">
        <f>IF(만두건설!AF22+만두토목!AF22+홍천서석!AF22+사창리!AF22+대원건설!AF22+정윤일!AF22+비고1!AF22+비고2!AF22&gt;0,만두건설!AF22+만두토목!AF22+홍천서석!AF22+사창리!AF22+대원건설!AF22+정윤일!AF22+비고1!AF22+비고2!AF22,"")</f>
        <v/>
      </c>
      <c r="AG22" s="2" t="str">
        <f>IF(만두건설!AG22+만두토목!AG22+홍천서석!AG22+사창리!AG22+대원건설!AG22+정윤일!AG22+비고1!AG22+비고2!AG22&gt;0,만두건설!AG22+만두토목!AG22+홍천서석!AG22+사창리!AG22+대원건설!AG22+정윤일!AG22+비고1!AG22+비고2!AG22,"")</f>
        <v/>
      </c>
      <c r="AH22" s="2" t="str">
        <f>IF(만두건설!AH22+만두토목!AH22+홍천서석!AH22+사창리!AH22+대원건설!AH22+정윤일!AH22+비고1!AH22+비고2!AH22&gt;0,만두건설!AH22+만두토목!AH22+홍천서석!AH22+사창리!AH22+대원건설!AH22+정윤일!AH22+비고1!AH22+비고2!AH22,"")</f>
        <v/>
      </c>
      <c r="AI22" s="2" t="str">
        <f>IF(만두건설!AI22+만두토목!AI22+홍천서석!AI22+사창리!AI22+대원건설!AI22+정윤일!AI22+비고1!AI22+비고2!AI22&gt;0,만두건설!AI22+만두토목!AI22+홍천서석!AI22+사창리!AI22+대원건설!AI22+정윤일!AI22+비고1!AI22+비고2!AI22,"")</f>
        <v/>
      </c>
      <c r="AJ22" s="2" t="str">
        <f>IF(만두건설!AJ22+만두토목!AJ22+홍천서석!AJ22+사창리!AJ22+대원건설!AJ22+정윤일!AJ22+비고1!AJ22+비고2!AJ22&gt;0,만두건설!AJ22+만두토목!AJ22+홍천서석!AJ22+사창리!AJ22+대원건설!AJ22+정윤일!AJ22+비고1!AJ22+비고2!AJ22,"")</f>
        <v/>
      </c>
      <c r="AK22" s="2" t="str">
        <f>IF(만두건설!AK22+만두토목!AK22+홍천서석!AK22+사창리!AK22+대원건설!AK22+정윤일!AK22+비고1!AK22+비고2!AK22&gt;0,만두건설!AK22+만두토목!AK22+홍천서석!AK22+사창리!AK22+대원건설!AK22+정윤일!AK22+비고1!AK22+비고2!AK22,"")</f>
        <v/>
      </c>
      <c r="AL22" s="4" t="str">
        <f t="shared" si="1"/>
        <v/>
      </c>
      <c r="AM22" s="4"/>
      <c r="AN22" s="4">
        <f t="shared" si="2"/>
        <v>0</v>
      </c>
      <c r="AO22" s="4"/>
      <c r="AP22" s="7" t="str">
        <f>IF(만두건설!AL22&gt;0,만두건설!AL22,"")</f>
        <v/>
      </c>
      <c r="AQ22" s="7"/>
      <c r="AR22" s="7" t="str">
        <f>IF(만두토목!AL22&gt;0,만두토목!AL22,"")</f>
        <v/>
      </c>
      <c r="AS22" s="7"/>
      <c r="AT22" s="7" t="str">
        <f>IF(홍천서석!AL22&gt;0,홍천서석!AL22,"")</f>
        <v/>
      </c>
      <c r="AU22" s="7"/>
      <c r="AV22" s="7" t="str">
        <f>IF(사창리!AL22&gt;0,사창리!AL22,"")</f>
        <v/>
      </c>
      <c r="AW22" s="7"/>
      <c r="AX22" s="7" t="str">
        <f>IF(대원건설!AL22&gt;0,대원건설!AL22,"")</f>
        <v/>
      </c>
      <c r="AY22" s="7"/>
      <c r="AZ22" s="7" t="str">
        <f>IF(정윤일!AL22&gt;0,정윤일!AL22,"")</f>
        <v/>
      </c>
      <c r="BA22" s="7"/>
      <c r="BB22" s="7" t="str">
        <f>IF(비고1!AL22&gt;0,비고1!AL22,"")</f>
        <v/>
      </c>
      <c r="BC22" s="7"/>
      <c r="BD22" s="7" t="str">
        <f>IF(비고2!AL22&gt;0,비고2!AL22,"")</f>
        <v/>
      </c>
      <c r="BE22" s="7"/>
    </row>
    <row r="23" spans="1:57" ht="23.15" customHeight="1" x14ac:dyDescent="0.55000000000000004">
      <c r="A23" s="4">
        <f t="shared" si="0"/>
        <v>18</v>
      </c>
      <c r="B23" s="4"/>
      <c r="C23" s="4"/>
      <c r="D23" s="4"/>
      <c r="E23" s="4"/>
      <c r="F23" s="4"/>
      <c r="G23" s="2" t="str">
        <f>IF(만두건설!G23+만두토목!G23+홍천서석!G23+사창리!G23+대원건설!G23+정윤일!G23+비고1!G23+비고2!G23&gt;0,만두건설!G23+만두토목!G23+홍천서석!G23+사창리!G23+대원건설!G23+정윤일!G23+비고1!G23+비고2!G23,"")</f>
        <v/>
      </c>
      <c r="H23" s="2" t="str">
        <f>IF(만두건설!H23+만두토목!H23+홍천서석!H23+사창리!H23+대원건설!H23+정윤일!H23+비고1!H23+비고2!H23&gt;0,만두건설!H23+만두토목!H23+홍천서석!H23+사창리!H23+대원건설!H23+정윤일!H23+비고1!H23+비고2!H23,"")</f>
        <v/>
      </c>
      <c r="I23" s="2" t="str">
        <f>IF(만두건설!I23+만두토목!I23+홍천서석!I23+사창리!I23+대원건설!I23+정윤일!I23+비고1!I23+비고2!I23&gt;0,만두건설!I23+만두토목!I23+홍천서석!I23+사창리!I23+대원건설!I23+정윤일!I23+비고1!I23+비고2!I23,"")</f>
        <v/>
      </c>
      <c r="J23" s="2" t="str">
        <f>IF(만두건설!J23+만두토목!J23+홍천서석!J23+사창리!J23+대원건설!J23+정윤일!J23+비고1!J23+비고2!J23&gt;0,만두건설!J23+만두토목!J23+홍천서석!J23+사창리!J23+대원건설!J23+정윤일!J23+비고1!J23+비고2!J23,"")</f>
        <v/>
      </c>
      <c r="K23" s="2" t="str">
        <f>IF(만두건설!K23+만두토목!K23+홍천서석!K23+사창리!K23+대원건설!K23+정윤일!K23+비고1!K23+비고2!K23&gt;0,만두건설!K23+만두토목!K23+홍천서석!K23+사창리!K23+대원건설!K23+정윤일!K23+비고1!K23+비고2!K23,"")</f>
        <v/>
      </c>
      <c r="L23" s="2" t="str">
        <f>IF(만두건설!L23+만두토목!L23+홍천서석!L23+사창리!L23+대원건설!L23+정윤일!L23+비고1!L23+비고2!L23&gt;0,만두건설!L23+만두토목!L23+홍천서석!L23+사창리!L23+대원건설!L23+정윤일!L23+비고1!L23+비고2!L23,"")</f>
        <v/>
      </c>
      <c r="M23" s="2" t="str">
        <f>IF(만두건설!M23+만두토목!M23+홍천서석!M23+사창리!M23+대원건설!M23+정윤일!M23+비고1!M23+비고2!M23&gt;0,만두건설!M23+만두토목!M23+홍천서석!M23+사창리!M23+대원건설!M23+정윤일!M23+비고1!M23+비고2!M23,"")</f>
        <v/>
      </c>
      <c r="N23" s="2" t="str">
        <f>IF(만두건설!N23+만두토목!N23+홍천서석!N23+사창리!N23+대원건설!N23+정윤일!N23+비고1!N23+비고2!N23&gt;0,만두건설!N23+만두토목!N23+홍천서석!N23+사창리!N23+대원건설!N23+정윤일!N23+비고1!N23+비고2!N23,"")</f>
        <v/>
      </c>
      <c r="O23" s="2" t="str">
        <f>IF(만두건설!O23+만두토목!O23+홍천서석!O23+사창리!O23+대원건설!O23+정윤일!O23+비고1!O23+비고2!O23&gt;0,만두건설!O23+만두토목!O23+홍천서석!O23+사창리!O23+대원건설!O23+정윤일!O23+비고1!O23+비고2!O23,"")</f>
        <v/>
      </c>
      <c r="P23" s="2" t="str">
        <f>IF(만두건설!P23+만두토목!P23+홍천서석!P23+사창리!P23+대원건설!P23+정윤일!P23+비고1!P23+비고2!P23&gt;0,만두건설!P23+만두토목!P23+홍천서석!P23+사창리!P23+대원건설!P23+정윤일!P23+비고1!P23+비고2!P23,"")</f>
        <v/>
      </c>
      <c r="Q23" s="2" t="str">
        <f>IF(만두건설!Q23+만두토목!Q23+홍천서석!Q23+사창리!Q23+대원건설!Q23+정윤일!Q23+비고1!Q23+비고2!Q23&gt;0,만두건설!Q23+만두토목!Q23+홍천서석!Q23+사창리!Q23+대원건설!Q23+정윤일!Q23+비고1!Q23+비고2!Q23,"")</f>
        <v/>
      </c>
      <c r="R23" s="2" t="str">
        <f>IF(만두건설!R23+만두토목!R23+홍천서석!R23+사창리!R23+대원건설!R23+정윤일!R23+비고1!R23+비고2!R23&gt;0,만두건설!R23+만두토목!R23+홍천서석!R23+사창리!R23+대원건설!R23+정윤일!R23+비고1!R23+비고2!R23,"")</f>
        <v/>
      </c>
      <c r="S23" s="2" t="str">
        <f>IF(만두건설!S23+만두토목!S23+홍천서석!S23+사창리!S23+대원건설!S23+정윤일!S23+비고1!S23+비고2!S23&gt;0,만두건설!S23+만두토목!S23+홍천서석!S23+사창리!S23+대원건설!S23+정윤일!S23+비고1!S23+비고2!S23,"")</f>
        <v/>
      </c>
      <c r="T23" s="2" t="str">
        <f>IF(만두건설!T23+만두토목!T23+홍천서석!T23+사창리!T23+대원건설!T23+정윤일!T23+비고1!T23+비고2!T23&gt;0,만두건설!T23+만두토목!T23+홍천서석!T23+사창리!T23+대원건설!T23+정윤일!T23+비고1!T23+비고2!T23,"")</f>
        <v/>
      </c>
      <c r="U23" s="2" t="str">
        <f>IF(만두건설!U23+만두토목!U23+홍천서석!U23+사창리!U23+대원건설!U23+정윤일!U23+비고1!U23+비고2!U23&gt;0,만두건설!U23+만두토목!U23+홍천서석!U23+사창리!U23+대원건설!U23+정윤일!U23+비고1!U23+비고2!U23,"")</f>
        <v/>
      </c>
      <c r="V23" s="2" t="str">
        <f>IF(만두건설!V23+만두토목!V23+홍천서석!V23+사창리!V23+대원건설!V23+정윤일!V23+비고1!V23+비고2!V23&gt;0,만두건설!V23+만두토목!V23+홍천서석!V23+사창리!V23+대원건설!V23+정윤일!V23+비고1!V23+비고2!V23,"")</f>
        <v/>
      </c>
      <c r="W23" s="2" t="str">
        <f>IF(만두건설!W23+만두토목!W23+홍천서석!W23+사창리!W23+대원건설!W23+정윤일!W23+비고1!W23+비고2!W23&gt;0,만두건설!W23+만두토목!W23+홍천서석!W23+사창리!W23+대원건설!W23+정윤일!W23+비고1!W23+비고2!W23,"")</f>
        <v/>
      </c>
      <c r="X23" s="2" t="str">
        <f>IF(만두건설!X23+만두토목!X23+홍천서석!X23+사창리!X23+대원건설!X23+정윤일!X23+비고1!X23+비고2!X23&gt;0,만두건설!X23+만두토목!X23+홍천서석!X23+사창리!X23+대원건설!X23+정윤일!X23+비고1!X23+비고2!X23,"")</f>
        <v/>
      </c>
      <c r="Y23" s="2" t="str">
        <f>IF(만두건설!Y23+만두토목!Y23+홍천서석!Y23+사창리!Y23+대원건설!Y23+정윤일!Y23+비고1!Y23+비고2!Y23&gt;0,만두건설!Y23+만두토목!Y23+홍천서석!Y23+사창리!Y23+대원건설!Y23+정윤일!Y23+비고1!Y23+비고2!Y23,"")</f>
        <v/>
      </c>
      <c r="Z23" s="2" t="str">
        <f>IF(만두건설!Z23+만두토목!Z23+홍천서석!Z23+사창리!Z23+대원건설!Z23+정윤일!Z23+비고1!Z23+비고2!Z23&gt;0,만두건설!Z23+만두토목!Z23+홍천서석!Z23+사창리!Z23+대원건설!Z23+정윤일!Z23+비고1!Z23+비고2!Z23,"")</f>
        <v/>
      </c>
      <c r="AA23" s="2" t="str">
        <f>IF(만두건설!AA23+만두토목!AA23+홍천서석!AA23+사창리!AA23+대원건설!AA23+정윤일!AA23+비고1!AA23+비고2!AA23&gt;0,만두건설!AA23+만두토목!AA23+홍천서석!AA23+사창리!AA23+대원건설!AA23+정윤일!AA23+비고1!AA23+비고2!AA23,"")</f>
        <v/>
      </c>
      <c r="AB23" s="2" t="str">
        <f>IF(만두건설!AB23+만두토목!AB23+홍천서석!AB23+사창리!AB23+대원건설!AB23+정윤일!AB23+비고1!AB23+비고2!AB23&gt;0,만두건설!AB23+만두토목!AB23+홍천서석!AB23+사창리!AB23+대원건설!AB23+정윤일!AB23+비고1!AB23+비고2!AB23,"")</f>
        <v/>
      </c>
      <c r="AC23" s="2" t="str">
        <f>IF(만두건설!AC23+만두토목!AC23+홍천서석!AC23+사창리!AC23+대원건설!AC23+정윤일!AC23+비고1!AC23+비고2!AC23&gt;0,만두건설!AC23+만두토목!AC23+홍천서석!AC23+사창리!AC23+대원건설!AC23+정윤일!AC23+비고1!AC23+비고2!AC23,"")</f>
        <v/>
      </c>
      <c r="AD23" s="2" t="str">
        <f>IF(만두건설!AD23+만두토목!AD23+홍천서석!AD23+사창리!AD23+대원건설!AD23+정윤일!AD23+비고1!AD23+비고2!AD23&gt;0,만두건설!AD23+만두토목!AD23+홍천서석!AD23+사창리!AD23+대원건설!AD23+정윤일!AD23+비고1!AD23+비고2!AD23,"")</f>
        <v/>
      </c>
      <c r="AE23" s="2" t="str">
        <f>IF(만두건설!AE23+만두토목!AE23+홍천서석!AE23+사창리!AE23+대원건설!AE23+정윤일!AE23+비고1!AE23+비고2!AE23&gt;0,만두건설!AE23+만두토목!AE23+홍천서석!AE23+사창리!AE23+대원건설!AE23+정윤일!AE23+비고1!AE23+비고2!AE23,"")</f>
        <v/>
      </c>
      <c r="AF23" s="2" t="str">
        <f>IF(만두건설!AF23+만두토목!AF23+홍천서석!AF23+사창리!AF23+대원건설!AF23+정윤일!AF23+비고1!AF23+비고2!AF23&gt;0,만두건설!AF23+만두토목!AF23+홍천서석!AF23+사창리!AF23+대원건설!AF23+정윤일!AF23+비고1!AF23+비고2!AF23,"")</f>
        <v/>
      </c>
      <c r="AG23" s="2" t="str">
        <f>IF(만두건설!AG23+만두토목!AG23+홍천서석!AG23+사창리!AG23+대원건설!AG23+정윤일!AG23+비고1!AG23+비고2!AG23&gt;0,만두건설!AG23+만두토목!AG23+홍천서석!AG23+사창리!AG23+대원건설!AG23+정윤일!AG23+비고1!AG23+비고2!AG23,"")</f>
        <v/>
      </c>
      <c r="AH23" s="2" t="str">
        <f>IF(만두건설!AH23+만두토목!AH23+홍천서석!AH23+사창리!AH23+대원건설!AH23+정윤일!AH23+비고1!AH23+비고2!AH23&gt;0,만두건설!AH23+만두토목!AH23+홍천서석!AH23+사창리!AH23+대원건설!AH23+정윤일!AH23+비고1!AH23+비고2!AH23,"")</f>
        <v/>
      </c>
      <c r="AI23" s="2" t="str">
        <f>IF(만두건설!AI23+만두토목!AI23+홍천서석!AI23+사창리!AI23+대원건설!AI23+정윤일!AI23+비고1!AI23+비고2!AI23&gt;0,만두건설!AI23+만두토목!AI23+홍천서석!AI23+사창리!AI23+대원건설!AI23+정윤일!AI23+비고1!AI23+비고2!AI23,"")</f>
        <v/>
      </c>
      <c r="AJ23" s="2" t="str">
        <f>IF(만두건설!AJ23+만두토목!AJ23+홍천서석!AJ23+사창리!AJ23+대원건설!AJ23+정윤일!AJ23+비고1!AJ23+비고2!AJ23&gt;0,만두건설!AJ23+만두토목!AJ23+홍천서석!AJ23+사창리!AJ23+대원건설!AJ23+정윤일!AJ23+비고1!AJ23+비고2!AJ23,"")</f>
        <v/>
      </c>
      <c r="AK23" s="2" t="str">
        <f>IF(만두건설!AK23+만두토목!AK23+홍천서석!AK23+사창리!AK23+대원건설!AK23+정윤일!AK23+비고1!AK23+비고2!AK23&gt;0,만두건설!AK23+만두토목!AK23+홍천서석!AK23+사창리!AK23+대원건설!AK23+정윤일!AK23+비고1!AK23+비고2!AK23,"")</f>
        <v/>
      </c>
      <c r="AL23" s="4" t="str">
        <f t="shared" si="1"/>
        <v/>
      </c>
      <c r="AM23" s="4"/>
      <c r="AN23" s="4">
        <f t="shared" si="2"/>
        <v>0</v>
      </c>
      <c r="AO23" s="4"/>
      <c r="AP23" s="7" t="str">
        <f>IF(만두건설!AL23&gt;0,만두건설!AL23,"")</f>
        <v/>
      </c>
      <c r="AQ23" s="7"/>
      <c r="AR23" s="7" t="str">
        <f>IF(만두토목!AL23&gt;0,만두토목!AL23,"")</f>
        <v/>
      </c>
      <c r="AS23" s="7"/>
      <c r="AT23" s="7" t="str">
        <f>IF(홍천서석!AL23&gt;0,홍천서석!AL23,"")</f>
        <v/>
      </c>
      <c r="AU23" s="7"/>
      <c r="AV23" s="7" t="str">
        <f>IF(사창리!AL23&gt;0,사창리!AL23,"")</f>
        <v/>
      </c>
      <c r="AW23" s="7"/>
      <c r="AX23" s="7" t="str">
        <f>IF(대원건설!AL23&gt;0,대원건설!AL23,"")</f>
        <v/>
      </c>
      <c r="AY23" s="7"/>
      <c r="AZ23" s="7" t="str">
        <f>IF(정윤일!AL23&gt;0,정윤일!AL23,"")</f>
        <v/>
      </c>
      <c r="BA23" s="7"/>
      <c r="BB23" s="7" t="str">
        <f>IF(비고1!AL23&gt;0,비고1!AL23,"")</f>
        <v/>
      </c>
      <c r="BC23" s="7"/>
      <c r="BD23" s="7" t="str">
        <f>IF(비고2!AL23&gt;0,비고2!AL23,"")</f>
        <v/>
      </c>
      <c r="BE23" s="7"/>
    </row>
    <row r="24" spans="1:57" ht="23.15" customHeight="1" x14ac:dyDescent="0.55000000000000004">
      <c r="A24" s="4">
        <f t="shared" si="0"/>
        <v>19</v>
      </c>
      <c r="B24" s="4"/>
      <c r="C24" s="4"/>
      <c r="D24" s="4"/>
      <c r="E24" s="4"/>
      <c r="F24" s="4"/>
      <c r="G24" s="2" t="str">
        <f>IF(만두건설!G24+만두토목!G24+홍천서석!G24+사창리!G24+대원건설!G24+정윤일!G24+비고1!G24+비고2!G24&gt;0,만두건설!G24+만두토목!G24+홍천서석!G24+사창리!G24+대원건설!G24+정윤일!G24+비고1!G24+비고2!G24,"")</f>
        <v/>
      </c>
      <c r="H24" s="2" t="str">
        <f>IF(만두건설!H24+만두토목!H24+홍천서석!H24+사창리!H24+대원건설!H24+정윤일!H24+비고1!H24+비고2!H24&gt;0,만두건설!H24+만두토목!H24+홍천서석!H24+사창리!H24+대원건설!H24+정윤일!H24+비고1!H24+비고2!H24,"")</f>
        <v/>
      </c>
      <c r="I24" s="2" t="str">
        <f>IF(만두건설!I24+만두토목!I24+홍천서석!I24+사창리!I24+대원건설!I24+정윤일!I24+비고1!I24+비고2!I24&gt;0,만두건설!I24+만두토목!I24+홍천서석!I24+사창리!I24+대원건설!I24+정윤일!I24+비고1!I24+비고2!I24,"")</f>
        <v/>
      </c>
      <c r="J24" s="2" t="str">
        <f>IF(만두건설!J24+만두토목!J24+홍천서석!J24+사창리!J24+대원건설!J24+정윤일!J24+비고1!J24+비고2!J24&gt;0,만두건설!J24+만두토목!J24+홍천서석!J24+사창리!J24+대원건설!J24+정윤일!J24+비고1!J24+비고2!J24,"")</f>
        <v/>
      </c>
      <c r="K24" s="2" t="str">
        <f>IF(만두건설!K24+만두토목!K24+홍천서석!K24+사창리!K24+대원건설!K24+정윤일!K24+비고1!K24+비고2!K24&gt;0,만두건설!K24+만두토목!K24+홍천서석!K24+사창리!K24+대원건설!K24+정윤일!K24+비고1!K24+비고2!K24,"")</f>
        <v/>
      </c>
      <c r="L24" s="2" t="str">
        <f>IF(만두건설!L24+만두토목!L24+홍천서석!L24+사창리!L24+대원건설!L24+정윤일!L24+비고1!L24+비고2!L24&gt;0,만두건설!L24+만두토목!L24+홍천서석!L24+사창리!L24+대원건설!L24+정윤일!L24+비고1!L24+비고2!L24,"")</f>
        <v/>
      </c>
      <c r="M24" s="2" t="str">
        <f>IF(만두건설!M24+만두토목!M24+홍천서석!M24+사창리!M24+대원건설!M24+정윤일!M24+비고1!M24+비고2!M24&gt;0,만두건설!M24+만두토목!M24+홍천서석!M24+사창리!M24+대원건설!M24+정윤일!M24+비고1!M24+비고2!M24,"")</f>
        <v/>
      </c>
      <c r="N24" s="2" t="str">
        <f>IF(만두건설!N24+만두토목!N24+홍천서석!N24+사창리!N24+대원건설!N24+정윤일!N24+비고1!N24+비고2!N24&gt;0,만두건설!N24+만두토목!N24+홍천서석!N24+사창리!N24+대원건설!N24+정윤일!N24+비고1!N24+비고2!N24,"")</f>
        <v/>
      </c>
      <c r="O24" s="2" t="str">
        <f>IF(만두건설!O24+만두토목!O24+홍천서석!O24+사창리!O24+대원건설!O24+정윤일!O24+비고1!O24+비고2!O24&gt;0,만두건설!O24+만두토목!O24+홍천서석!O24+사창리!O24+대원건설!O24+정윤일!O24+비고1!O24+비고2!O24,"")</f>
        <v/>
      </c>
      <c r="P24" s="2" t="str">
        <f>IF(만두건설!P24+만두토목!P24+홍천서석!P24+사창리!P24+대원건설!P24+정윤일!P24+비고1!P24+비고2!P24&gt;0,만두건설!P24+만두토목!P24+홍천서석!P24+사창리!P24+대원건설!P24+정윤일!P24+비고1!P24+비고2!P24,"")</f>
        <v/>
      </c>
      <c r="Q24" s="2" t="str">
        <f>IF(만두건설!Q24+만두토목!Q24+홍천서석!Q24+사창리!Q24+대원건설!Q24+정윤일!Q24+비고1!Q24+비고2!Q24&gt;0,만두건설!Q24+만두토목!Q24+홍천서석!Q24+사창리!Q24+대원건설!Q24+정윤일!Q24+비고1!Q24+비고2!Q24,"")</f>
        <v/>
      </c>
      <c r="R24" s="2" t="str">
        <f>IF(만두건설!R24+만두토목!R24+홍천서석!R24+사창리!R24+대원건설!R24+정윤일!R24+비고1!R24+비고2!R24&gt;0,만두건설!R24+만두토목!R24+홍천서석!R24+사창리!R24+대원건설!R24+정윤일!R24+비고1!R24+비고2!R24,"")</f>
        <v/>
      </c>
      <c r="S24" s="2" t="str">
        <f>IF(만두건설!S24+만두토목!S24+홍천서석!S24+사창리!S24+대원건설!S24+정윤일!S24+비고1!S24+비고2!S24&gt;0,만두건설!S24+만두토목!S24+홍천서석!S24+사창리!S24+대원건설!S24+정윤일!S24+비고1!S24+비고2!S24,"")</f>
        <v/>
      </c>
      <c r="T24" s="2" t="str">
        <f>IF(만두건설!T24+만두토목!T24+홍천서석!T24+사창리!T24+대원건설!T24+정윤일!T24+비고1!T24+비고2!T24&gt;0,만두건설!T24+만두토목!T24+홍천서석!T24+사창리!T24+대원건설!T24+정윤일!T24+비고1!T24+비고2!T24,"")</f>
        <v/>
      </c>
      <c r="U24" s="2" t="str">
        <f>IF(만두건설!U24+만두토목!U24+홍천서석!U24+사창리!U24+대원건설!U24+정윤일!U24+비고1!U24+비고2!U24&gt;0,만두건설!U24+만두토목!U24+홍천서석!U24+사창리!U24+대원건설!U24+정윤일!U24+비고1!U24+비고2!U24,"")</f>
        <v/>
      </c>
      <c r="V24" s="2" t="str">
        <f>IF(만두건설!V24+만두토목!V24+홍천서석!V24+사창리!V24+대원건설!V24+정윤일!V24+비고1!V24+비고2!V24&gt;0,만두건설!V24+만두토목!V24+홍천서석!V24+사창리!V24+대원건설!V24+정윤일!V24+비고1!V24+비고2!V24,"")</f>
        <v/>
      </c>
      <c r="W24" s="2" t="str">
        <f>IF(만두건설!W24+만두토목!W24+홍천서석!W24+사창리!W24+대원건설!W24+정윤일!W24+비고1!W24+비고2!W24&gt;0,만두건설!W24+만두토목!W24+홍천서석!W24+사창리!W24+대원건설!W24+정윤일!W24+비고1!W24+비고2!W24,"")</f>
        <v/>
      </c>
      <c r="X24" s="2" t="str">
        <f>IF(만두건설!X24+만두토목!X24+홍천서석!X24+사창리!X24+대원건설!X24+정윤일!X24+비고1!X24+비고2!X24&gt;0,만두건설!X24+만두토목!X24+홍천서석!X24+사창리!X24+대원건설!X24+정윤일!X24+비고1!X24+비고2!X24,"")</f>
        <v/>
      </c>
      <c r="Y24" s="2" t="str">
        <f>IF(만두건설!Y24+만두토목!Y24+홍천서석!Y24+사창리!Y24+대원건설!Y24+정윤일!Y24+비고1!Y24+비고2!Y24&gt;0,만두건설!Y24+만두토목!Y24+홍천서석!Y24+사창리!Y24+대원건설!Y24+정윤일!Y24+비고1!Y24+비고2!Y24,"")</f>
        <v/>
      </c>
      <c r="Z24" s="2" t="str">
        <f>IF(만두건설!Z24+만두토목!Z24+홍천서석!Z24+사창리!Z24+대원건설!Z24+정윤일!Z24+비고1!Z24+비고2!Z24&gt;0,만두건설!Z24+만두토목!Z24+홍천서석!Z24+사창리!Z24+대원건설!Z24+정윤일!Z24+비고1!Z24+비고2!Z24,"")</f>
        <v/>
      </c>
      <c r="AA24" s="2" t="str">
        <f>IF(만두건설!AA24+만두토목!AA24+홍천서석!AA24+사창리!AA24+대원건설!AA24+정윤일!AA24+비고1!AA24+비고2!AA24&gt;0,만두건설!AA24+만두토목!AA24+홍천서석!AA24+사창리!AA24+대원건설!AA24+정윤일!AA24+비고1!AA24+비고2!AA24,"")</f>
        <v/>
      </c>
      <c r="AB24" s="2" t="str">
        <f>IF(만두건설!AB24+만두토목!AB24+홍천서석!AB24+사창리!AB24+대원건설!AB24+정윤일!AB24+비고1!AB24+비고2!AB24&gt;0,만두건설!AB24+만두토목!AB24+홍천서석!AB24+사창리!AB24+대원건설!AB24+정윤일!AB24+비고1!AB24+비고2!AB24,"")</f>
        <v/>
      </c>
      <c r="AC24" s="2" t="str">
        <f>IF(만두건설!AC24+만두토목!AC24+홍천서석!AC24+사창리!AC24+대원건설!AC24+정윤일!AC24+비고1!AC24+비고2!AC24&gt;0,만두건설!AC24+만두토목!AC24+홍천서석!AC24+사창리!AC24+대원건설!AC24+정윤일!AC24+비고1!AC24+비고2!AC24,"")</f>
        <v/>
      </c>
      <c r="AD24" s="2" t="str">
        <f>IF(만두건설!AD24+만두토목!AD24+홍천서석!AD24+사창리!AD24+대원건설!AD24+정윤일!AD24+비고1!AD24+비고2!AD24&gt;0,만두건설!AD24+만두토목!AD24+홍천서석!AD24+사창리!AD24+대원건설!AD24+정윤일!AD24+비고1!AD24+비고2!AD24,"")</f>
        <v/>
      </c>
      <c r="AE24" s="2" t="str">
        <f>IF(만두건설!AE24+만두토목!AE24+홍천서석!AE24+사창리!AE24+대원건설!AE24+정윤일!AE24+비고1!AE24+비고2!AE24&gt;0,만두건설!AE24+만두토목!AE24+홍천서석!AE24+사창리!AE24+대원건설!AE24+정윤일!AE24+비고1!AE24+비고2!AE24,"")</f>
        <v/>
      </c>
      <c r="AF24" s="2" t="str">
        <f>IF(만두건설!AF24+만두토목!AF24+홍천서석!AF24+사창리!AF24+대원건설!AF24+정윤일!AF24+비고1!AF24+비고2!AF24&gt;0,만두건설!AF24+만두토목!AF24+홍천서석!AF24+사창리!AF24+대원건설!AF24+정윤일!AF24+비고1!AF24+비고2!AF24,"")</f>
        <v/>
      </c>
      <c r="AG24" s="2" t="str">
        <f>IF(만두건설!AG24+만두토목!AG24+홍천서석!AG24+사창리!AG24+대원건설!AG24+정윤일!AG24+비고1!AG24+비고2!AG24&gt;0,만두건설!AG24+만두토목!AG24+홍천서석!AG24+사창리!AG24+대원건설!AG24+정윤일!AG24+비고1!AG24+비고2!AG24,"")</f>
        <v/>
      </c>
      <c r="AH24" s="2" t="str">
        <f>IF(만두건설!AH24+만두토목!AH24+홍천서석!AH24+사창리!AH24+대원건설!AH24+정윤일!AH24+비고1!AH24+비고2!AH24&gt;0,만두건설!AH24+만두토목!AH24+홍천서석!AH24+사창리!AH24+대원건설!AH24+정윤일!AH24+비고1!AH24+비고2!AH24,"")</f>
        <v/>
      </c>
      <c r="AI24" s="2" t="str">
        <f>IF(만두건설!AI24+만두토목!AI24+홍천서석!AI24+사창리!AI24+대원건설!AI24+정윤일!AI24+비고1!AI24+비고2!AI24&gt;0,만두건설!AI24+만두토목!AI24+홍천서석!AI24+사창리!AI24+대원건설!AI24+정윤일!AI24+비고1!AI24+비고2!AI24,"")</f>
        <v/>
      </c>
      <c r="AJ24" s="2" t="str">
        <f>IF(만두건설!AJ24+만두토목!AJ24+홍천서석!AJ24+사창리!AJ24+대원건설!AJ24+정윤일!AJ24+비고1!AJ24+비고2!AJ24&gt;0,만두건설!AJ24+만두토목!AJ24+홍천서석!AJ24+사창리!AJ24+대원건설!AJ24+정윤일!AJ24+비고1!AJ24+비고2!AJ24,"")</f>
        <v/>
      </c>
      <c r="AK24" s="2" t="str">
        <f>IF(만두건설!AK24+만두토목!AK24+홍천서석!AK24+사창리!AK24+대원건설!AK24+정윤일!AK24+비고1!AK24+비고2!AK24&gt;0,만두건설!AK24+만두토목!AK24+홍천서석!AK24+사창리!AK24+대원건설!AK24+정윤일!AK24+비고1!AK24+비고2!AK24,"")</f>
        <v/>
      </c>
      <c r="AL24" s="4" t="str">
        <f t="shared" si="1"/>
        <v/>
      </c>
      <c r="AM24" s="4"/>
      <c r="AN24" s="4">
        <f t="shared" si="2"/>
        <v>0</v>
      </c>
      <c r="AO24" s="4"/>
      <c r="AP24" s="7" t="str">
        <f>IF(만두건설!AL24&gt;0,만두건설!AL24,"")</f>
        <v/>
      </c>
      <c r="AQ24" s="7"/>
      <c r="AR24" s="7" t="str">
        <f>IF(만두토목!AL24&gt;0,만두토목!AL24,"")</f>
        <v/>
      </c>
      <c r="AS24" s="7"/>
      <c r="AT24" s="7" t="str">
        <f>IF(홍천서석!AL24&gt;0,홍천서석!AL24,"")</f>
        <v/>
      </c>
      <c r="AU24" s="7"/>
      <c r="AV24" s="7" t="str">
        <f>IF(사창리!AL24&gt;0,사창리!AL24,"")</f>
        <v/>
      </c>
      <c r="AW24" s="7"/>
      <c r="AX24" s="7" t="str">
        <f>IF(대원건설!AL24&gt;0,대원건설!AL24,"")</f>
        <v/>
      </c>
      <c r="AY24" s="7"/>
      <c r="AZ24" s="7" t="str">
        <f>IF(정윤일!AL24&gt;0,정윤일!AL24,"")</f>
        <v/>
      </c>
      <c r="BA24" s="7"/>
      <c r="BB24" s="7" t="str">
        <f>IF(비고1!AL24&gt;0,비고1!AL24,"")</f>
        <v/>
      </c>
      <c r="BC24" s="7"/>
      <c r="BD24" s="7" t="str">
        <f>IF(비고2!AL24&gt;0,비고2!AL24,"")</f>
        <v/>
      </c>
      <c r="BE24" s="7"/>
    </row>
    <row r="25" spans="1:57" ht="23.15" customHeight="1" x14ac:dyDescent="0.55000000000000004">
      <c r="A25" s="4">
        <f t="shared" si="0"/>
        <v>20</v>
      </c>
      <c r="B25" s="4"/>
      <c r="C25" s="4"/>
      <c r="D25" s="4"/>
      <c r="E25" s="4"/>
      <c r="F25" s="4"/>
      <c r="G25" s="2" t="str">
        <f>IF(만두건설!G25+만두토목!G25+홍천서석!G25+사창리!G25+대원건설!G25+정윤일!G25+비고1!G25+비고2!G25&gt;0,만두건설!G25+만두토목!G25+홍천서석!G25+사창리!G25+대원건설!G25+정윤일!G25+비고1!G25+비고2!G25,"")</f>
        <v/>
      </c>
      <c r="H25" s="2" t="str">
        <f>IF(만두건설!H25+만두토목!H25+홍천서석!H25+사창리!H25+대원건설!H25+정윤일!H25+비고1!H25+비고2!H25&gt;0,만두건설!H25+만두토목!H25+홍천서석!H25+사창리!H25+대원건설!H25+정윤일!H25+비고1!H25+비고2!H25,"")</f>
        <v/>
      </c>
      <c r="I25" s="2" t="str">
        <f>IF(만두건설!I25+만두토목!I25+홍천서석!I25+사창리!I25+대원건설!I25+정윤일!I25+비고1!I25+비고2!I25&gt;0,만두건설!I25+만두토목!I25+홍천서석!I25+사창리!I25+대원건설!I25+정윤일!I25+비고1!I25+비고2!I25,"")</f>
        <v/>
      </c>
      <c r="J25" s="2" t="str">
        <f>IF(만두건설!J25+만두토목!J25+홍천서석!J25+사창리!J25+대원건설!J25+정윤일!J25+비고1!J25+비고2!J25&gt;0,만두건설!J25+만두토목!J25+홍천서석!J25+사창리!J25+대원건설!J25+정윤일!J25+비고1!J25+비고2!J25,"")</f>
        <v/>
      </c>
      <c r="K25" s="2" t="str">
        <f>IF(만두건설!K25+만두토목!K25+홍천서석!K25+사창리!K25+대원건설!K25+정윤일!K25+비고1!K25+비고2!K25&gt;0,만두건설!K25+만두토목!K25+홍천서석!K25+사창리!K25+대원건설!K25+정윤일!K25+비고1!K25+비고2!K25,"")</f>
        <v/>
      </c>
      <c r="L25" s="2" t="str">
        <f>IF(만두건설!L25+만두토목!L25+홍천서석!L25+사창리!L25+대원건설!L25+정윤일!L25+비고1!L25+비고2!L25&gt;0,만두건설!L25+만두토목!L25+홍천서석!L25+사창리!L25+대원건설!L25+정윤일!L25+비고1!L25+비고2!L25,"")</f>
        <v/>
      </c>
      <c r="M25" s="2" t="str">
        <f>IF(만두건설!M25+만두토목!M25+홍천서석!M25+사창리!M25+대원건설!M25+정윤일!M25+비고1!M25+비고2!M25&gt;0,만두건설!M25+만두토목!M25+홍천서석!M25+사창리!M25+대원건설!M25+정윤일!M25+비고1!M25+비고2!M25,"")</f>
        <v/>
      </c>
      <c r="N25" s="2" t="str">
        <f>IF(만두건설!N25+만두토목!N25+홍천서석!N25+사창리!N25+대원건설!N25+정윤일!N25+비고1!N25+비고2!N25&gt;0,만두건설!N25+만두토목!N25+홍천서석!N25+사창리!N25+대원건설!N25+정윤일!N25+비고1!N25+비고2!N25,"")</f>
        <v/>
      </c>
      <c r="O25" s="2" t="str">
        <f>IF(만두건설!O25+만두토목!O25+홍천서석!O25+사창리!O25+대원건설!O25+정윤일!O25+비고1!O25+비고2!O25&gt;0,만두건설!O25+만두토목!O25+홍천서석!O25+사창리!O25+대원건설!O25+정윤일!O25+비고1!O25+비고2!O25,"")</f>
        <v/>
      </c>
      <c r="P25" s="2" t="str">
        <f>IF(만두건설!P25+만두토목!P25+홍천서석!P25+사창리!P25+대원건설!P25+정윤일!P25+비고1!P25+비고2!P25&gt;0,만두건설!P25+만두토목!P25+홍천서석!P25+사창리!P25+대원건설!P25+정윤일!P25+비고1!P25+비고2!P25,"")</f>
        <v/>
      </c>
      <c r="Q25" s="2" t="str">
        <f>IF(만두건설!Q25+만두토목!Q25+홍천서석!Q25+사창리!Q25+대원건설!Q25+정윤일!Q25+비고1!Q25+비고2!Q25&gt;0,만두건설!Q25+만두토목!Q25+홍천서석!Q25+사창리!Q25+대원건설!Q25+정윤일!Q25+비고1!Q25+비고2!Q25,"")</f>
        <v/>
      </c>
      <c r="R25" s="2" t="str">
        <f>IF(만두건설!R25+만두토목!R25+홍천서석!R25+사창리!R25+대원건설!R25+정윤일!R25+비고1!R25+비고2!R25&gt;0,만두건설!R25+만두토목!R25+홍천서석!R25+사창리!R25+대원건설!R25+정윤일!R25+비고1!R25+비고2!R25,"")</f>
        <v/>
      </c>
      <c r="S25" s="2" t="str">
        <f>IF(만두건설!S25+만두토목!S25+홍천서석!S25+사창리!S25+대원건설!S25+정윤일!S25+비고1!S25+비고2!S25&gt;0,만두건설!S25+만두토목!S25+홍천서석!S25+사창리!S25+대원건설!S25+정윤일!S25+비고1!S25+비고2!S25,"")</f>
        <v/>
      </c>
      <c r="T25" s="2" t="str">
        <f>IF(만두건설!T25+만두토목!T25+홍천서석!T25+사창리!T25+대원건설!T25+정윤일!T25+비고1!T25+비고2!T25&gt;0,만두건설!T25+만두토목!T25+홍천서석!T25+사창리!T25+대원건설!T25+정윤일!T25+비고1!T25+비고2!T25,"")</f>
        <v/>
      </c>
      <c r="U25" s="2" t="str">
        <f>IF(만두건설!U25+만두토목!U25+홍천서석!U25+사창리!U25+대원건설!U25+정윤일!U25+비고1!U25+비고2!U25&gt;0,만두건설!U25+만두토목!U25+홍천서석!U25+사창리!U25+대원건설!U25+정윤일!U25+비고1!U25+비고2!U25,"")</f>
        <v/>
      </c>
      <c r="V25" s="2" t="str">
        <f>IF(만두건설!V25+만두토목!V25+홍천서석!V25+사창리!V25+대원건설!V25+정윤일!V25+비고1!V25+비고2!V25&gt;0,만두건설!V25+만두토목!V25+홍천서석!V25+사창리!V25+대원건설!V25+정윤일!V25+비고1!V25+비고2!V25,"")</f>
        <v/>
      </c>
      <c r="W25" s="2" t="str">
        <f>IF(만두건설!W25+만두토목!W25+홍천서석!W25+사창리!W25+대원건설!W25+정윤일!W25+비고1!W25+비고2!W25&gt;0,만두건설!W25+만두토목!W25+홍천서석!W25+사창리!W25+대원건설!W25+정윤일!W25+비고1!W25+비고2!W25,"")</f>
        <v/>
      </c>
      <c r="X25" s="2" t="str">
        <f>IF(만두건설!X25+만두토목!X25+홍천서석!X25+사창리!X25+대원건설!X25+정윤일!X25+비고1!X25+비고2!X25&gt;0,만두건설!X25+만두토목!X25+홍천서석!X25+사창리!X25+대원건설!X25+정윤일!X25+비고1!X25+비고2!X25,"")</f>
        <v/>
      </c>
      <c r="Y25" s="2" t="str">
        <f>IF(만두건설!Y25+만두토목!Y25+홍천서석!Y25+사창리!Y25+대원건설!Y25+정윤일!Y25+비고1!Y25+비고2!Y25&gt;0,만두건설!Y25+만두토목!Y25+홍천서석!Y25+사창리!Y25+대원건설!Y25+정윤일!Y25+비고1!Y25+비고2!Y25,"")</f>
        <v/>
      </c>
      <c r="Z25" s="2" t="str">
        <f>IF(만두건설!Z25+만두토목!Z25+홍천서석!Z25+사창리!Z25+대원건설!Z25+정윤일!Z25+비고1!Z25+비고2!Z25&gt;0,만두건설!Z25+만두토목!Z25+홍천서석!Z25+사창리!Z25+대원건설!Z25+정윤일!Z25+비고1!Z25+비고2!Z25,"")</f>
        <v/>
      </c>
      <c r="AA25" s="2" t="str">
        <f>IF(만두건설!AA25+만두토목!AA25+홍천서석!AA25+사창리!AA25+대원건설!AA25+정윤일!AA25+비고1!AA25+비고2!AA25&gt;0,만두건설!AA25+만두토목!AA25+홍천서석!AA25+사창리!AA25+대원건설!AA25+정윤일!AA25+비고1!AA25+비고2!AA25,"")</f>
        <v/>
      </c>
      <c r="AB25" s="2" t="str">
        <f>IF(만두건설!AB25+만두토목!AB25+홍천서석!AB25+사창리!AB25+대원건설!AB25+정윤일!AB25+비고1!AB25+비고2!AB25&gt;0,만두건설!AB25+만두토목!AB25+홍천서석!AB25+사창리!AB25+대원건설!AB25+정윤일!AB25+비고1!AB25+비고2!AB25,"")</f>
        <v/>
      </c>
      <c r="AC25" s="2" t="str">
        <f>IF(만두건설!AC25+만두토목!AC25+홍천서석!AC25+사창리!AC25+대원건설!AC25+정윤일!AC25+비고1!AC25+비고2!AC25&gt;0,만두건설!AC25+만두토목!AC25+홍천서석!AC25+사창리!AC25+대원건설!AC25+정윤일!AC25+비고1!AC25+비고2!AC25,"")</f>
        <v/>
      </c>
      <c r="AD25" s="2" t="str">
        <f>IF(만두건설!AD25+만두토목!AD25+홍천서석!AD25+사창리!AD25+대원건설!AD25+정윤일!AD25+비고1!AD25+비고2!AD25&gt;0,만두건설!AD25+만두토목!AD25+홍천서석!AD25+사창리!AD25+대원건설!AD25+정윤일!AD25+비고1!AD25+비고2!AD25,"")</f>
        <v/>
      </c>
      <c r="AE25" s="2" t="str">
        <f>IF(만두건설!AE25+만두토목!AE25+홍천서석!AE25+사창리!AE25+대원건설!AE25+정윤일!AE25+비고1!AE25+비고2!AE25&gt;0,만두건설!AE25+만두토목!AE25+홍천서석!AE25+사창리!AE25+대원건설!AE25+정윤일!AE25+비고1!AE25+비고2!AE25,"")</f>
        <v/>
      </c>
      <c r="AF25" s="2" t="str">
        <f>IF(만두건설!AF25+만두토목!AF25+홍천서석!AF25+사창리!AF25+대원건설!AF25+정윤일!AF25+비고1!AF25+비고2!AF25&gt;0,만두건설!AF25+만두토목!AF25+홍천서석!AF25+사창리!AF25+대원건설!AF25+정윤일!AF25+비고1!AF25+비고2!AF25,"")</f>
        <v/>
      </c>
      <c r="AG25" s="2" t="str">
        <f>IF(만두건설!AG25+만두토목!AG25+홍천서석!AG25+사창리!AG25+대원건설!AG25+정윤일!AG25+비고1!AG25+비고2!AG25&gt;0,만두건설!AG25+만두토목!AG25+홍천서석!AG25+사창리!AG25+대원건설!AG25+정윤일!AG25+비고1!AG25+비고2!AG25,"")</f>
        <v/>
      </c>
      <c r="AH25" s="2" t="str">
        <f>IF(만두건설!AH25+만두토목!AH25+홍천서석!AH25+사창리!AH25+대원건설!AH25+정윤일!AH25+비고1!AH25+비고2!AH25&gt;0,만두건설!AH25+만두토목!AH25+홍천서석!AH25+사창리!AH25+대원건설!AH25+정윤일!AH25+비고1!AH25+비고2!AH25,"")</f>
        <v/>
      </c>
      <c r="AI25" s="2" t="str">
        <f>IF(만두건설!AI25+만두토목!AI25+홍천서석!AI25+사창리!AI25+대원건설!AI25+정윤일!AI25+비고1!AI25+비고2!AI25&gt;0,만두건설!AI25+만두토목!AI25+홍천서석!AI25+사창리!AI25+대원건설!AI25+정윤일!AI25+비고1!AI25+비고2!AI25,"")</f>
        <v/>
      </c>
      <c r="AJ25" s="2" t="str">
        <f>IF(만두건설!AJ25+만두토목!AJ25+홍천서석!AJ25+사창리!AJ25+대원건설!AJ25+정윤일!AJ25+비고1!AJ25+비고2!AJ25&gt;0,만두건설!AJ25+만두토목!AJ25+홍천서석!AJ25+사창리!AJ25+대원건설!AJ25+정윤일!AJ25+비고1!AJ25+비고2!AJ25,"")</f>
        <v/>
      </c>
      <c r="AK25" s="2" t="str">
        <f>IF(만두건설!AK25+만두토목!AK25+홍천서석!AK25+사창리!AK25+대원건설!AK25+정윤일!AK25+비고1!AK25+비고2!AK25&gt;0,만두건설!AK25+만두토목!AK25+홍천서석!AK25+사창리!AK25+대원건설!AK25+정윤일!AK25+비고1!AK25+비고2!AK25,"")</f>
        <v/>
      </c>
      <c r="AL25" s="4" t="str">
        <f t="shared" si="1"/>
        <v/>
      </c>
      <c r="AM25" s="4"/>
      <c r="AN25" s="4">
        <f t="shared" si="2"/>
        <v>0</v>
      </c>
      <c r="AO25" s="4"/>
      <c r="AP25" s="7" t="str">
        <f>IF(만두건설!AL25&gt;0,만두건설!AL25,"")</f>
        <v/>
      </c>
      <c r="AQ25" s="7"/>
      <c r="AR25" s="7" t="str">
        <f>IF(만두토목!AL25&gt;0,만두토목!AL25,"")</f>
        <v/>
      </c>
      <c r="AS25" s="7"/>
      <c r="AT25" s="7" t="str">
        <f>IF(홍천서석!AL25&gt;0,홍천서석!AL25,"")</f>
        <v/>
      </c>
      <c r="AU25" s="7"/>
      <c r="AV25" s="7" t="str">
        <f>IF(사창리!AL25&gt;0,사창리!AL25,"")</f>
        <v/>
      </c>
      <c r="AW25" s="7"/>
      <c r="AX25" s="7" t="str">
        <f>IF(대원건설!AL25&gt;0,대원건설!AL25,"")</f>
        <v/>
      </c>
      <c r="AY25" s="7"/>
      <c r="AZ25" s="7" t="str">
        <f>IF(정윤일!AL25&gt;0,정윤일!AL25,"")</f>
        <v/>
      </c>
      <c r="BA25" s="7"/>
      <c r="BB25" s="7" t="str">
        <f>IF(비고1!AL25&gt;0,비고1!AL25,"")</f>
        <v/>
      </c>
      <c r="BC25" s="7"/>
      <c r="BD25" s="7" t="str">
        <f>IF(비고2!AL25&gt;0,비고2!AL25,"")</f>
        <v/>
      </c>
      <c r="BE25" s="7"/>
    </row>
    <row r="26" spans="1:57" ht="23.15" customHeight="1" x14ac:dyDescent="0.55000000000000004">
      <c r="A26" s="4">
        <f t="shared" si="0"/>
        <v>21</v>
      </c>
      <c r="B26" s="4"/>
      <c r="C26" s="4"/>
      <c r="D26" s="4"/>
      <c r="E26" s="4"/>
      <c r="F26" s="4"/>
      <c r="G26" s="2" t="str">
        <f>IF(만두건설!G26+만두토목!G26+홍천서석!G26+사창리!G26+대원건설!G26+정윤일!G26+비고1!G26+비고2!G26&gt;0,만두건설!G26+만두토목!G26+홍천서석!G26+사창리!G26+대원건설!G26+정윤일!G26+비고1!G26+비고2!G26,"")</f>
        <v/>
      </c>
      <c r="H26" s="2" t="str">
        <f>IF(만두건설!H26+만두토목!H26+홍천서석!H26+사창리!H26+대원건설!H26+정윤일!H26+비고1!H26+비고2!H26&gt;0,만두건설!H26+만두토목!H26+홍천서석!H26+사창리!H26+대원건설!H26+정윤일!H26+비고1!H26+비고2!H26,"")</f>
        <v/>
      </c>
      <c r="I26" s="2" t="str">
        <f>IF(만두건설!I26+만두토목!I26+홍천서석!I26+사창리!I26+대원건설!I26+정윤일!I26+비고1!I26+비고2!I26&gt;0,만두건설!I26+만두토목!I26+홍천서석!I26+사창리!I26+대원건설!I26+정윤일!I26+비고1!I26+비고2!I26,"")</f>
        <v/>
      </c>
      <c r="J26" s="2" t="str">
        <f>IF(만두건설!J26+만두토목!J26+홍천서석!J26+사창리!J26+대원건설!J26+정윤일!J26+비고1!J26+비고2!J26&gt;0,만두건설!J26+만두토목!J26+홍천서석!J26+사창리!J26+대원건설!J26+정윤일!J26+비고1!J26+비고2!J26,"")</f>
        <v/>
      </c>
      <c r="K26" s="2" t="str">
        <f>IF(만두건설!K26+만두토목!K26+홍천서석!K26+사창리!K26+대원건설!K26+정윤일!K26+비고1!K26+비고2!K26&gt;0,만두건설!K26+만두토목!K26+홍천서석!K26+사창리!K26+대원건설!K26+정윤일!K26+비고1!K26+비고2!K26,"")</f>
        <v/>
      </c>
      <c r="L26" s="2" t="str">
        <f>IF(만두건설!L26+만두토목!L26+홍천서석!L26+사창리!L26+대원건설!L26+정윤일!L26+비고1!L26+비고2!L26&gt;0,만두건설!L26+만두토목!L26+홍천서석!L26+사창리!L26+대원건설!L26+정윤일!L26+비고1!L26+비고2!L26,"")</f>
        <v/>
      </c>
      <c r="M26" s="2" t="str">
        <f>IF(만두건설!M26+만두토목!M26+홍천서석!M26+사창리!M26+대원건설!M26+정윤일!M26+비고1!M26+비고2!M26&gt;0,만두건설!M26+만두토목!M26+홍천서석!M26+사창리!M26+대원건설!M26+정윤일!M26+비고1!M26+비고2!M26,"")</f>
        <v/>
      </c>
      <c r="N26" s="2" t="str">
        <f>IF(만두건설!N26+만두토목!N26+홍천서석!N26+사창리!N26+대원건설!N26+정윤일!N26+비고1!N26+비고2!N26&gt;0,만두건설!N26+만두토목!N26+홍천서석!N26+사창리!N26+대원건설!N26+정윤일!N26+비고1!N26+비고2!N26,"")</f>
        <v/>
      </c>
      <c r="O26" s="2" t="str">
        <f>IF(만두건설!O26+만두토목!O26+홍천서석!O26+사창리!O26+대원건설!O26+정윤일!O26+비고1!O26+비고2!O26&gt;0,만두건설!O26+만두토목!O26+홍천서석!O26+사창리!O26+대원건설!O26+정윤일!O26+비고1!O26+비고2!O26,"")</f>
        <v/>
      </c>
      <c r="P26" s="2" t="str">
        <f>IF(만두건설!P26+만두토목!P26+홍천서석!P26+사창리!P26+대원건설!P26+정윤일!P26+비고1!P26+비고2!P26&gt;0,만두건설!P26+만두토목!P26+홍천서석!P26+사창리!P26+대원건설!P26+정윤일!P26+비고1!P26+비고2!P26,"")</f>
        <v/>
      </c>
      <c r="Q26" s="2" t="str">
        <f>IF(만두건설!Q26+만두토목!Q26+홍천서석!Q26+사창리!Q26+대원건설!Q26+정윤일!Q26+비고1!Q26+비고2!Q26&gt;0,만두건설!Q26+만두토목!Q26+홍천서석!Q26+사창리!Q26+대원건설!Q26+정윤일!Q26+비고1!Q26+비고2!Q26,"")</f>
        <v/>
      </c>
      <c r="R26" s="2" t="str">
        <f>IF(만두건설!R26+만두토목!R26+홍천서석!R26+사창리!R26+대원건설!R26+정윤일!R26+비고1!R26+비고2!R26&gt;0,만두건설!R26+만두토목!R26+홍천서석!R26+사창리!R26+대원건설!R26+정윤일!R26+비고1!R26+비고2!R26,"")</f>
        <v/>
      </c>
      <c r="S26" s="2" t="str">
        <f>IF(만두건설!S26+만두토목!S26+홍천서석!S26+사창리!S26+대원건설!S26+정윤일!S26+비고1!S26+비고2!S26&gt;0,만두건설!S26+만두토목!S26+홍천서석!S26+사창리!S26+대원건설!S26+정윤일!S26+비고1!S26+비고2!S26,"")</f>
        <v/>
      </c>
      <c r="T26" s="2" t="str">
        <f>IF(만두건설!T26+만두토목!T26+홍천서석!T26+사창리!T26+대원건설!T26+정윤일!T26+비고1!T26+비고2!T26&gt;0,만두건설!T26+만두토목!T26+홍천서석!T26+사창리!T26+대원건설!T26+정윤일!T26+비고1!T26+비고2!T26,"")</f>
        <v/>
      </c>
      <c r="U26" s="2" t="str">
        <f>IF(만두건설!U26+만두토목!U26+홍천서석!U26+사창리!U26+대원건설!U26+정윤일!U26+비고1!U26+비고2!U26&gt;0,만두건설!U26+만두토목!U26+홍천서석!U26+사창리!U26+대원건설!U26+정윤일!U26+비고1!U26+비고2!U26,"")</f>
        <v/>
      </c>
      <c r="V26" s="2" t="str">
        <f>IF(만두건설!V26+만두토목!V26+홍천서석!V26+사창리!V26+대원건설!V26+정윤일!V26+비고1!V26+비고2!V26&gt;0,만두건설!V26+만두토목!V26+홍천서석!V26+사창리!V26+대원건설!V26+정윤일!V26+비고1!V26+비고2!V26,"")</f>
        <v/>
      </c>
      <c r="W26" s="2" t="str">
        <f>IF(만두건설!W26+만두토목!W26+홍천서석!W26+사창리!W26+대원건설!W26+정윤일!W26+비고1!W26+비고2!W26&gt;0,만두건설!W26+만두토목!W26+홍천서석!W26+사창리!W26+대원건설!W26+정윤일!W26+비고1!W26+비고2!W26,"")</f>
        <v/>
      </c>
      <c r="X26" s="2" t="str">
        <f>IF(만두건설!X26+만두토목!X26+홍천서석!X26+사창리!X26+대원건설!X26+정윤일!X26+비고1!X26+비고2!X26&gt;0,만두건설!X26+만두토목!X26+홍천서석!X26+사창리!X26+대원건설!X26+정윤일!X26+비고1!X26+비고2!X26,"")</f>
        <v/>
      </c>
      <c r="Y26" s="2" t="str">
        <f>IF(만두건설!Y26+만두토목!Y26+홍천서석!Y26+사창리!Y26+대원건설!Y26+정윤일!Y26+비고1!Y26+비고2!Y26&gt;0,만두건설!Y26+만두토목!Y26+홍천서석!Y26+사창리!Y26+대원건설!Y26+정윤일!Y26+비고1!Y26+비고2!Y26,"")</f>
        <v/>
      </c>
      <c r="Z26" s="2" t="str">
        <f>IF(만두건설!Z26+만두토목!Z26+홍천서석!Z26+사창리!Z26+대원건설!Z26+정윤일!Z26+비고1!Z26+비고2!Z26&gt;0,만두건설!Z26+만두토목!Z26+홍천서석!Z26+사창리!Z26+대원건설!Z26+정윤일!Z26+비고1!Z26+비고2!Z26,"")</f>
        <v/>
      </c>
      <c r="AA26" s="2" t="str">
        <f>IF(만두건설!AA26+만두토목!AA26+홍천서석!AA26+사창리!AA26+대원건설!AA26+정윤일!AA26+비고1!AA26+비고2!AA26&gt;0,만두건설!AA26+만두토목!AA26+홍천서석!AA26+사창리!AA26+대원건설!AA26+정윤일!AA26+비고1!AA26+비고2!AA26,"")</f>
        <v/>
      </c>
      <c r="AB26" s="2" t="str">
        <f>IF(만두건설!AB26+만두토목!AB26+홍천서석!AB26+사창리!AB26+대원건설!AB26+정윤일!AB26+비고1!AB26+비고2!AB26&gt;0,만두건설!AB26+만두토목!AB26+홍천서석!AB26+사창리!AB26+대원건설!AB26+정윤일!AB26+비고1!AB26+비고2!AB26,"")</f>
        <v/>
      </c>
      <c r="AC26" s="2" t="str">
        <f>IF(만두건설!AC26+만두토목!AC26+홍천서석!AC26+사창리!AC26+대원건설!AC26+정윤일!AC26+비고1!AC26+비고2!AC26&gt;0,만두건설!AC26+만두토목!AC26+홍천서석!AC26+사창리!AC26+대원건설!AC26+정윤일!AC26+비고1!AC26+비고2!AC26,"")</f>
        <v/>
      </c>
      <c r="AD26" s="2" t="str">
        <f>IF(만두건설!AD26+만두토목!AD26+홍천서석!AD26+사창리!AD26+대원건설!AD26+정윤일!AD26+비고1!AD26+비고2!AD26&gt;0,만두건설!AD26+만두토목!AD26+홍천서석!AD26+사창리!AD26+대원건설!AD26+정윤일!AD26+비고1!AD26+비고2!AD26,"")</f>
        <v/>
      </c>
      <c r="AE26" s="2" t="str">
        <f>IF(만두건설!AE26+만두토목!AE26+홍천서석!AE26+사창리!AE26+대원건설!AE26+정윤일!AE26+비고1!AE26+비고2!AE26&gt;0,만두건설!AE26+만두토목!AE26+홍천서석!AE26+사창리!AE26+대원건설!AE26+정윤일!AE26+비고1!AE26+비고2!AE26,"")</f>
        <v/>
      </c>
      <c r="AF26" s="2" t="str">
        <f>IF(만두건설!AF26+만두토목!AF26+홍천서석!AF26+사창리!AF26+대원건설!AF26+정윤일!AF26+비고1!AF26+비고2!AF26&gt;0,만두건설!AF26+만두토목!AF26+홍천서석!AF26+사창리!AF26+대원건설!AF26+정윤일!AF26+비고1!AF26+비고2!AF26,"")</f>
        <v/>
      </c>
      <c r="AG26" s="2" t="str">
        <f>IF(만두건설!AG26+만두토목!AG26+홍천서석!AG26+사창리!AG26+대원건설!AG26+정윤일!AG26+비고1!AG26+비고2!AG26&gt;0,만두건설!AG26+만두토목!AG26+홍천서석!AG26+사창리!AG26+대원건설!AG26+정윤일!AG26+비고1!AG26+비고2!AG26,"")</f>
        <v/>
      </c>
      <c r="AH26" s="2" t="str">
        <f>IF(만두건설!AH26+만두토목!AH26+홍천서석!AH26+사창리!AH26+대원건설!AH26+정윤일!AH26+비고1!AH26+비고2!AH26&gt;0,만두건설!AH26+만두토목!AH26+홍천서석!AH26+사창리!AH26+대원건설!AH26+정윤일!AH26+비고1!AH26+비고2!AH26,"")</f>
        <v/>
      </c>
      <c r="AI26" s="2" t="str">
        <f>IF(만두건설!AI26+만두토목!AI26+홍천서석!AI26+사창리!AI26+대원건설!AI26+정윤일!AI26+비고1!AI26+비고2!AI26&gt;0,만두건설!AI26+만두토목!AI26+홍천서석!AI26+사창리!AI26+대원건설!AI26+정윤일!AI26+비고1!AI26+비고2!AI26,"")</f>
        <v/>
      </c>
      <c r="AJ26" s="2" t="str">
        <f>IF(만두건설!AJ26+만두토목!AJ26+홍천서석!AJ26+사창리!AJ26+대원건설!AJ26+정윤일!AJ26+비고1!AJ26+비고2!AJ26&gt;0,만두건설!AJ26+만두토목!AJ26+홍천서석!AJ26+사창리!AJ26+대원건설!AJ26+정윤일!AJ26+비고1!AJ26+비고2!AJ26,"")</f>
        <v/>
      </c>
      <c r="AK26" s="2" t="str">
        <f>IF(만두건설!AK26+만두토목!AK26+홍천서석!AK26+사창리!AK26+대원건설!AK26+정윤일!AK26+비고1!AK26+비고2!AK26&gt;0,만두건설!AK26+만두토목!AK26+홍천서석!AK26+사창리!AK26+대원건설!AK26+정윤일!AK26+비고1!AK26+비고2!AK26,"")</f>
        <v/>
      </c>
      <c r="AL26" s="4" t="str">
        <f t="shared" si="1"/>
        <v/>
      </c>
      <c r="AM26" s="4"/>
      <c r="AN26" s="4">
        <f t="shared" si="2"/>
        <v>0</v>
      </c>
      <c r="AO26" s="4"/>
      <c r="AP26" s="7" t="str">
        <f>IF(만두건설!AL26&gt;0,만두건설!AL26,"")</f>
        <v/>
      </c>
      <c r="AQ26" s="7"/>
      <c r="AR26" s="7" t="str">
        <f>IF(만두토목!AL26&gt;0,만두토목!AL26,"")</f>
        <v/>
      </c>
      <c r="AS26" s="7"/>
      <c r="AT26" s="7" t="str">
        <f>IF(홍천서석!AL26&gt;0,홍천서석!AL26,"")</f>
        <v/>
      </c>
      <c r="AU26" s="7"/>
      <c r="AV26" s="7" t="str">
        <f>IF(사창리!AL26&gt;0,사창리!AL26,"")</f>
        <v/>
      </c>
      <c r="AW26" s="7"/>
      <c r="AX26" s="7" t="str">
        <f>IF(대원건설!AL26&gt;0,대원건설!AL26,"")</f>
        <v/>
      </c>
      <c r="AY26" s="7"/>
      <c r="AZ26" s="7" t="str">
        <f>IF(정윤일!AL26&gt;0,정윤일!AL26,"")</f>
        <v/>
      </c>
      <c r="BA26" s="7"/>
      <c r="BB26" s="7" t="str">
        <f>IF(비고1!AL26&gt;0,비고1!AL26,"")</f>
        <v/>
      </c>
      <c r="BC26" s="7"/>
      <c r="BD26" s="7" t="str">
        <f>IF(비고2!AL26&gt;0,비고2!AL26,"")</f>
        <v/>
      </c>
      <c r="BE26" s="7"/>
    </row>
    <row r="27" spans="1:57" ht="23.15" customHeight="1" x14ac:dyDescent="0.55000000000000004">
      <c r="A27" s="4">
        <f t="shared" si="0"/>
        <v>22</v>
      </c>
      <c r="B27" s="4"/>
      <c r="C27" s="4"/>
      <c r="D27" s="4"/>
      <c r="E27" s="4"/>
      <c r="F27" s="4"/>
      <c r="G27" s="2" t="str">
        <f>IF(만두건설!G27+만두토목!G27+홍천서석!G27+사창리!G27+대원건설!G27+정윤일!G27+비고1!G27+비고2!G27&gt;0,만두건설!G27+만두토목!G27+홍천서석!G27+사창리!G27+대원건설!G27+정윤일!G27+비고1!G27+비고2!G27,"")</f>
        <v/>
      </c>
      <c r="H27" s="2" t="str">
        <f>IF(만두건설!H27+만두토목!H27+홍천서석!H27+사창리!H27+대원건설!H27+정윤일!H27+비고1!H27+비고2!H27&gt;0,만두건설!H27+만두토목!H27+홍천서석!H27+사창리!H27+대원건설!H27+정윤일!H27+비고1!H27+비고2!H27,"")</f>
        <v/>
      </c>
      <c r="I27" s="2" t="str">
        <f>IF(만두건설!I27+만두토목!I27+홍천서석!I27+사창리!I27+대원건설!I27+정윤일!I27+비고1!I27+비고2!I27&gt;0,만두건설!I27+만두토목!I27+홍천서석!I27+사창리!I27+대원건설!I27+정윤일!I27+비고1!I27+비고2!I27,"")</f>
        <v/>
      </c>
      <c r="J27" s="2" t="str">
        <f>IF(만두건설!J27+만두토목!J27+홍천서석!J27+사창리!J27+대원건설!J27+정윤일!J27+비고1!J27+비고2!J27&gt;0,만두건설!J27+만두토목!J27+홍천서석!J27+사창리!J27+대원건설!J27+정윤일!J27+비고1!J27+비고2!J27,"")</f>
        <v/>
      </c>
      <c r="K27" s="2" t="str">
        <f>IF(만두건설!K27+만두토목!K27+홍천서석!K27+사창리!K27+대원건설!K27+정윤일!K27+비고1!K27+비고2!K27&gt;0,만두건설!K27+만두토목!K27+홍천서석!K27+사창리!K27+대원건설!K27+정윤일!K27+비고1!K27+비고2!K27,"")</f>
        <v/>
      </c>
      <c r="L27" s="2" t="str">
        <f>IF(만두건설!L27+만두토목!L27+홍천서석!L27+사창리!L27+대원건설!L27+정윤일!L27+비고1!L27+비고2!L27&gt;0,만두건설!L27+만두토목!L27+홍천서석!L27+사창리!L27+대원건설!L27+정윤일!L27+비고1!L27+비고2!L27,"")</f>
        <v/>
      </c>
      <c r="M27" s="2" t="str">
        <f>IF(만두건설!M27+만두토목!M27+홍천서석!M27+사창리!M27+대원건설!M27+정윤일!M27+비고1!M27+비고2!M27&gt;0,만두건설!M27+만두토목!M27+홍천서석!M27+사창리!M27+대원건설!M27+정윤일!M27+비고1!M27+비고2!M27,"")</f>
        <v/>
      </c>
      <c r="N27" s="2" t="str">
        <f>IF(만두건설!N27+만두토목!N27+홍천서석!N27+사창리!N27+대원건설!N27+정윤일!N27+비고1!N27+비고2!N27&gt;0,만두건설!N27+만두토목!N27+홍천서석!N27+사창리!N27+대원건설!N27+정윤일!N27+비고1!N27+비고2!N27,"")</f>
        <v/>
      </c>
      <c r="O27" s="2" t="str">
        <f>IF(만두건설!O27+만두토목!O27+홍천서석!O27+사창리!O27+대원건설!O27+정윤일!O27+비고1!O27+비고2!O27&gt;0,만두건설!O27+만두토목!O27+홍천서석!O27+사창리!O27+대원건설!O27+정윤일!O27+비고1!O27+비고2!O27,"")</f>
        <v/>
      </c>
      <c r="P27" s="2" t="str">
        <f>IF(만두건설!P27+만두토목!P27+홍천서석!P27+사창리!P27+대원건설!P27+정윤일!P27+비고1!P27+비고2!P27&gt;0,만두건설!P27+만두토목!P27+홍천서석!P27+사창리!P27+대원건설!P27+정윤일!P27+비고1!P27+비고2!P27,"")</f>
        <v/>
      </c>
      <c r="Q27" s="2" t="str">
        <f>IF(만두건설!Q27+만두토목!Q27+홍천서석!Q27+사창리!Q27+대원건설!Q27+정윤일!Q27+비고1!Q27+비고2!Q27&gt;0,만두건설!Q27+만두토목!Q27+홍천서석!Q27+사창리!Q27+대원건설!Q27+정윤일!Q27+비고1!Q27+비고2!Q27,"")</f>
        <v/>
      </c>
      <c r="R27" s="2" t="str">
        <f>IF(만두건설!R27+만두토목!R27+홍천서석!R27+사창리!R27+대원건설!R27+정윤일!R27+비고1!R27+비고2!R27&gt;0,만두건설!R27+만두토목!R27+홍천서석!R27+사창리!R27+대원건설!R27+정윤일!R27+비고1!R27+비고2!R27,"")</f>
        <v/>
      </c>
      <c r="S27" s="2" t="str">
        <f>IF(만두건설!S27+만두토목!S27+홍천서석!S27+사창리!S27+대원건설!S27+정윤일!S27+비고1!S27+비고2!S27&gt;0,만두건설!S27+만두토목!S27+홍천서석!S27+사창리!S27+대원건설!S27+정윤일!S27+비고1!S27+비고2!S27,"")</f>
        <v/>
      </c>
      <c r="T27" s="2" t="str">
        <f>IF(만두건설!T27+만두토목!T27+홍천서석!T27+사창리!T27+대원건설!T27+정윤일!T27+비고1!T27+비고2!T27&gt;0,만두건설!T27+만두토목!T27+홍천서석!T27+사창리!T27+대원건설!T27+정윤일!T27+비고1!T27+비고2!T27,"")</f>
        <v/>
      </c>
      <c r="U27" s="2" t="str">
        <f>IF(만두건설!U27+만두토목!U27+홍천서석!U27+사창리!U27+대원건설!U27+정윤일!U27+비고1!U27+비고2!U27&gt;0,만두건설!U27+만두토목!U27+홍천서석!U27+사창리!U27+대원건설!U27+정윤일!U27+비고1!U27+비고2!U27,"")</f>
        <v/>
      </c>
      <c r="V27" s="2" t="str">
        <f>IF(만두건설!V27+만두토목!V27+홍천서석!V27+사창리!V27+대원건설!V27+정윤일!V27+비고1!V27+비고2!V27&gt;0,만두건설!V27+만두토목!V27+홍천서석!V27+사창리!V27+대원건설!V27+정윤일!V27+비고1!V27+비고2!V27,"")</f>
        <v/>
      </c>
      <c r="W27" s="2" t="str">
        <f>IF(만두건설!W27+만두토목!W27+홍천서석!W27+사창리!W27+대원건설!W27+정윤일!W27+비고1!W27+비고2!W27&gt;0,만두건설!W27+만두토목!W27+홍천서석!W27+사창리!W27+대원건설!W27+정윤일!W27+비고1!W27+비고2!W27,"")</f>
        <v/>
      </c>
      <c r="X27" s="2" t="str">
        <f>IF(만두건설!X27+만두토목!X27+홍천서석!X27+사창리!X27+대원건설!X27+정윤일!X27+비고1!X27+비고2!X27&gt;0,만두건설!X27+만두토목!X27+홍천서석!X27+사창리!X27+대원건설!X27+정윤일!X27+비고1!X27+비고2!X27,"")</f>
        <v/>
      </c>
      <c r="Y27" s="2" t="str">
        <f>IF(만두건설!Y27+만두토목!Y27+홍천서석!Y27+사창리!Y27+대원건설!Y27+정윤일!Y27+비고1!Y27+비고2!Y27&gt;0,만두건설!Y27+만두토목!Y27+홍천서석!Y27+사창리!Y27+대원건설!Y27+정윤일!Y27+비고1!Y27+비고2!Y27,"")</f>
        <v/>
      </c>
      <c r="Z27" s="2" t="str">
        <f>IF(만두건설!Z27+만두토목!Z27+홍천서석!Z27+사창리!Z27+대원건설!Z27+정윤일!Z27+비고1!Z27+비고2!Z27&gt;0,만두건설!Z27+만두토목!Z27+홍천서석!Z27+사창리!Z27+대원건설!Z27+정윤일!Z27+비고1!Z27+비고2!Z27,"")</f>
        <v/>
      </c>
      <c r="AA27" s="2" t="str">
        <f>IF(만두건설!AA27+만두토목!AA27+홍천서석!AA27+사창리!AA27+대원건설!AA27+정윤일!AA27+비고1!AA27+비고2!AA27&gt;0,만두건설!AA27+만두토목!AA27+홍천서석!AA27+사창리!AA27+대원건설!AA27+정윤일!AA27+비고1!AA27+비고2!AA27,"")</f>
        <v/>
      </c>
      <c r="AB27" s="2" t="str">
        <f>IF(만두건설!AB27+만두토목!AB27+홍천서석!AB27+사창리!AB27+대원건설!AB27+정윤일!AB27+비고1!AB27+비고2!AB27&gt;0,만두건설!AB27+만두토목!AB27+홍천서석!AB27+사창리!AB27+대원건설!AB27+정윤일!AB27+비고1!AB27+비고2!AB27,"")</f>
        <v/>
      </c>
      <c r="AC27" s="2" t="str">
        <f>IF(만두건설!AC27+만두토목!AC27+홍천서석!AC27+사창리!AC27+대원건설!AC27+정윤일!AC27+비고1!AC27+비고2!AC27&gt;0,만두건설!AC27+만두토목!AC27+홍천서석!AC27+사창리!AC27+대원건설!AC27+정윤일!AC27+비고1!AC27+비고2!AC27,"")</f>
        <v/>
      </c>
      <c r="AD27" s="2" t="str">
        <f>IF(만두건설!AD27+만두토목!AD27+홍천서석!AD27+사창리!AD27+대원건설!AD27+정윤일!AD27+비고1!AD27+비고2!AD27&gt;0,만두건설!AD27+만두토목!AD27+홍천서석!AD27+사창리!AD27+대원건설!AD27+정윤일!AD27+비고1!AD27+비고2!AD27,"")</f>
        <v/>
      </c>
      <c r="AE27" s="2" t="str">
        <f>IF(만두건설!AE27+만두토목!AE27+홍천서석!AE27+사창리!AE27+대원건설!AE27+정윤일!AE27+비고1!AE27+비고2!AE27&gt;0,만두건설!AE27+만두토목!AE27+홍천서석!AE27+사창리!AE27+대원건설!AE27+정윤일!AE27+비고1!AE27+비고2!AE27,"")</f>
        <v/>
      </c>
      <c r="AF27" s="2" t="str">
        <f>IF(만두건설!AF27+만두토목!AF27+홍천서석!AF27+사창리!AF27+대원건설!AF27+정윤일!AF27+비고1!AF27+비고2!AF27&gt;0,만두건설!AF27+만두토목!AF27+홍천서석!AF27+사창리!AF27+대원건설!AF27+정윤일!AF27+비고1!AF27+비고2!AF27,"")</f>
        <v/>
      </c>
      <c r="AG27" s="2" t="str">
        <f>IF(만두건설!AG27+만두토목!AG27+홍천서석!AG27+사창리!AG27+대원건설!AG27+정윤일!AG27+비고1!AG27+비고2!AG27&gt;0,만두건설!AG27+만두토목!AG27+홍천서석!AG27+사창리!AG27+대원건설!AG27+정윤일!AG27+비고1!AG27+비고2!AG27,"")</f>
        <v/>
      </c>
      <c r="AH27" s="2" t="str">
        <f>IF(만두건설!AH27+만두토목!AH27+홍천서석!AH27+사창리!AH27+대원건설!AH27+정윤일!AH27+비고1!AH27+비고2!AH27&gt;0,만두건설!AH27+만두토목!AH27+홍천서석!AH27+사창리!AH27+대원건설!AH27+정윤일!AH27+비고1!AH27+비고2!AH27,"")</f>
        <v/>
      </c>
      <c r="AI27" s="2" t="str">
        <f>IF(만두건설!AI27+만두토목!AI27+홍천서석!AI27+사창리!AI27+대원건설!AI27+정윤일!AI27+비고1!AI27+비고2!AI27&gt;0,만두건설!AI27+만두토목!AI27+홍천서석!AI27+사창리!AI27+대원건설!AI27+정윤일!AI27+비고1!AI27+비고2!AI27,"")</f>
        <v/>
      </c>
      <c r="AJ27" s="2" t="str">
        <f>IF(만두건설!AJ27+만두토목!AJ27+홍천서석!AJ27+사창리!AJ27+대원건설!AJ27+정윤일!AJ27+비고1!AJ27+비고2!AJ27&gt;0,만두건설!AJ27+만두토목!AJ27+홍천서석!AJ27+사창리!AJ27+대원건설!AJ27+정윤일!AJ27+비고1!AJ27+비고2!AJ27,"")</f>
        <v/>
      </c>
      <c r="AK27" s="2" t="str">
        <f>IF(만두건설!AK27+만두토목!AK27+홍천서석!AK27+사창리!AK27+대원건설!AK27+정윤일!AK27+비고1!AK27+비고2!AK27&gt;0,만두건설!AK27+만두토목!AK27+홍천서석!AK27+사창리!AK27+대원건설!AK27+정윤일!AK27+비고1!AK27+비고2!AK27,"")</f>
        <v/>
      </c>
      <c r="AL27" s="4" t="str">
        <f t="shared" si="1"/>
        <v/>
      </c>
      <c r="AM27" s="4"/>
      <c r="AN27" s="4">
        <f t="shared" si="2"/>
        <v>0</v>
      </c>
      <c r="AO27" s="4"/>
      <c r="AP27" s="7" t="str">
        <f>IF(만두건설!AL27&gt;0,만두건설!AL27,"")</f>
        <v/>
      </c>
      <c r="AQ27" s="7"/>
      <c r="AR27" s="7" t="str">
        <f>IF(만두토목!AL27&gt;0,만두토목!AL27,"")</f>
        <v/>
      </c>
      <c r="AS27" s="7"/>
      <c r="AT27" s="7" t="str">
        <f>IF(홍천서석!AL27&gt;0,홍천서석!AL27,"")</f>
        <v/>
      </c>
      <c r="AU27" s="7"/>
      <c r="AV27" s="7" t="str">
        <f>IF(사창리!AL27&gt;0,사창리!AL27,"")</f>
        <v/>
      </c>
      <c r="AW27" s="7"/>
      <c r="AX27" s="7" t="str">
        <f>IF(대원건설!AL27&gt;0,대원건설!AL27,"")</f>
        <v/>
      </c>
      <c r="AY27" s="7"/>
      <c r="AZ27" s="7" t="str">
        <f>IF(정윤일!AL27&gt;0,정윤일!AL27,"")</f>
        <v/>
      </c>
      <c r="BA27" s="7"/>
      <c r="BB27" s="7" t="str">
        <f>IF(비고1!AL27&gt;0,비고1!AL27,"")</f>
        <v/>
      </c>
      <c r="BC27" s="7"/>
      <c r="BD27" s="7" t="str">
        <f>IF(비고2!AL27&gt;0,비고2!AL27,"")</f>
        <v/>
      </c>
      <c r="BE27" s="7"/>
    </row>
    <row r="28" spans="1:57" ht="23.15" customHeight="1" x14ac:dyDescent="0.55000000000000004">
      <c r="A28" s="4">
        <f t="shared" si="0"/>
        <v>23</v>
      </c>
      <c r="B28" s="4"/>
      <c r="C28" s="4"/>
      <c r="D28" s="4"/>
      <c r="E28" s="4"/>
      <c r="F28" s="4"/>
      <c r="G28" s="2" t="str">
        <f>IF(만두건설!G28+만두토목!G28+홍천서석!G28+사창리!G28+대원건설!G28+정윤일!G28+비고1!G28+비고2!G28&gt;0,만두건설!G28+만두토목!G28+홍천서석!G28+사창리!G28+대원건설!G28+정윤일!G28+비고1!G28+비고2!G28,"")</f>
        <v/>
      </c>
      <c r="H28" s="2" t="str">
        <f>IF(만두건설!H28+만두토목!H28+홍천서석!H28+사창리!H28+대원건설!H28+정윤일!H28+비고1!H28+비고2!H28&gt;0,만두건설!H28+만두토목!H28+홍천서석!H28+사창리!H28+대원건설!H28+정윤일!H28+비고1!H28+비고2!H28,"")</f>
        <v/>
      </c>
      <c r="I28" s="2" t="str">
        <f>IF(만두건설!I28+만두토목!I28+홍천서석!I28+사창리!I28+대원건설!I28+정윤일!I28+비고1!I28+비고2!I28&gt;0,만두건설!I28+만두토목!I28+홍천서석!I28+사창리!I28+대원건설!I28+정윤일!I28+비고1!I28+비고2!I28,"")</f>
        <v/>
      </c>
      <c r="J28" s="2" t="str">
        <f>IF(만두건설!J28+만두토목!J28+홍천서석!J28+사창리!J28+대원건설!J28+정윤일!J28+비고1!J28+비고2!J28&gt;0,만두건설!J28+만두토목!J28+홍천서석!J28+사창리!J28+대원건설!J28+정윤일!J28+비고1!J28+비고2!J28,"")</f>
        <v/>
      </c>
      <c r="K28" s="2" t="str">
        <f>IF(만두건설!K28+만두토목!K28+홍천서석!K28+사창리!K28+대원건설!K28+정윤일!K28+비고1!K28+비고2!K28&gt;0,만두건설!K28+만두토목!K28+홍천서석!K28+사창리!K28+대원건설!K28+정윤일!K28+비고1!K28+비고2!K28,"")</f>
        <v/>
      </c>
      <c r="L28" s="2" t="str">
        <f>IF(만두건설!L28+만두토목!L28+홍천서석!L28+사창리!L28+대원건설!L28+정윤일!L28+비고1!L28+비고2!L28&gt;0,만두건설!L28+만두토목!L28+홍천서석!L28+사창리!L28+대원건설!L28+정윤일!L28+비고1!L28+비고2!L28,"")</f>
        <v/>
      </c>
      <c r="M28" s="2" t="str">
        <f>IF(만두건설!M28+만두토목!M28+홍천서석!M28+사창리!M28+대원건설!M28+정윤일!M28+비고1!M28+비고2!M28&gt;0,만두건설!M28+만두토목!M28+홍천서석!M28+사창리!M28+대원건설!M28+정윤일!M28+비고1!M28+비고2!M28,"")</f>
        <v/>
      </c>
      <c r="N28" s="2" t="str">
        <f>IF(만두건설!N28+만두토목!N28+홍천서석!N28+사창리!N28+대원건설!N28+정윤일!N28+비고1!N28+비고2!N28&gt;0,만두건설!N28+만두토목!N28+홍천서석!N28+사창리!N28+대원건설!N28+정윤일!N28+비고1!N28+비고2!N28,"")</f>
        <v/>
      </c>
      <c r="O28" s="2" t="str">
        <f>IF(만두건설!O28+만두토목!O28+홍천서석!O28+사창리!O28+대원건설!O28+정윤일!O28+비고1!O28+비고2!O28&gt;0,만두건설!O28+만두토목!O28+홍천서석!O28+사창리!O28+대원건설!O28+정윤일!O28+비고1!O28+비고2!O28,"")</f>
        <v/>
      </c>
      <c r="P28" s="2" t="str">
        <f>IF(만두건설!P28+만두토목!P28+홍천서석!P28+사창리!P28+대원건설!P28+정윤일!P28+비고1!P28+비고2!P28&gt;0,만두건설!P28+만두토목!P28+홍천서석!P28+사창리!P28+대원건설!P28+정윤일!P28+비고1!P28+비고2!P28,"")</f>
        <v/>
      </c>
      <c r="Q28" s="2" t="str">
        <f>IF(만두건설!Q28+만두토목!Q28+홍천서석!Q28+사창리!Q28+대원건설!Q28+정윤일!Q28+비고1!Q28+비고2!Q28&gt;0,만두건설!Q28+만두토목!Q28+홍천서석!Q28+사창리!Q28+대원건설!Q28+정윤일!Q28+비고1!Q28+비고2!Q28,"")</f>
        <v/>
      </c>
      <c r="R28" s="2" t="str">
        <f>IF(만두건설!R28+만두토목!R28+홍천서석!R28+사창리!R28+대원건설!R28+정윤일!R28+비고1!R28+비고2!R28&gt;0,만두건설!R28+만두토목!R28+홍천서석!R28+사창리!R28+대원건설!R28+정윤일!R28+비고1!R28+비고2!R28,"")</f>
        <v/>
      </c>
      <c r="S28" s="2" t="str">
        <f>IF(만두건설!S28+만두토목!S28+홍천서석!S28+사창리!S28+대원건설!S28+정윤일!S28+비고1!S28+비고2!S28&gt;0,만두건설!S28+만두토목!S28+홍천서석!S28+사창리!S28+대원건설!S28+정윤일!S28+비고1!S28+비고2!S28,"")</f>
        <v/>
      </c>
      <c r="T28" s="2" t="str">
        <f>IF(만두건설!T28+만두토목!T28+홍천서석!T28+사창리!T28+대원건설!T28+정윤일!T28+비고1!T28+비고2!T28&gt;0,만두건설!T28+만두토목!T28+홍천서석!T28+사창리!T28+대원건설!T28+정윤일!T28+비고1!T28+비고2!T28,"")</f>
        <v/>
      </c>
      <c r="U28" s="2" t="str">
        <f>IF(만두건설!U28+만두토목!U28+홍천서석!U28+사창리!U28+대원건설!U28+정윤일!U28+비고1!U28+비고2!U28&gt;0,만두건설!U28+만두토목!U28+홍천서석!U28+사창리!U28+대원건설!U28+정윤일!U28+비고1!U28+비고2!U28,"")</f>
        <v/>
      </c>
      <c r="V28" s="2" t="str">
        <f>IF(만두건설!V28+만두토목!V28+홍천서석!V28+사창리!V28+대원건설!V28+정윤일!V28+비고1!V28+비고2!V28&gt;0,만두건설!V28+만두토목!V28+홍천서석!V28+사창리!V28+대원건설!V28+정윤일!V28+비고1!V28+비고2!V28,"")</f>
        <v/>
      </c>
      <c r="W28" s="2" t="str">
        <f>IF(만두건설!W28+만두토목!W28+홍천서석!W28+사창리!W28+대원건설!W28+정윤일!W28+비고1!W28+비고2!W28&gt;0,만두건설!W28+만두토목!W28+홍천서석!W28+사창리!W28+대원건설!W28+정윤일!W28+비고1!W28+비고2!W28,"")</f>
        <v/>
      </c>
      <c r="X28" s="2" t="str">
        <f>IF(만두건설!X28+만두토목!X28+홍천서석!X28+사창리!X28+대원건설!X28+정윤일!X28+비고1!X28+비고2!X28&gt;0,만두건설!X28+만두토목!X28+홍천서석!X28+사창리!X28+대원건설!X28+정윤일!X28+비고1!X28+비고2!X28,"")</f>
        <v/>
      </c>
      <c r="Y28" s="2" t="str">
        <f>IF(만두건설!Y28+만두토목!Y28+홍천서석!Y28+사창리!Y28+대원건설!Y28+정윤일!Y28+비고1!Y28+비고2!Y28&gt;0,만두건설!Y28+만두토목!Y28+홍천서석!Y28+사창리!Y28+대원건설!Y28+정윤일!Y28+비고1!Y28+비고2!Y28,"")</f>
        <v/>
      </c>
      <c r="Z28" s="2" t="str">
        <f>IF(만두건설!Z28+만두토목!Z28+홍천서석!Z28+사창리!Z28+대원건설!Z28+정윤일!Z28+비고1!Z28+비고2!Z28&gt;0,만두건설!Z28+만두토목!Z28+홍천서석!Z28+사창리!Z28+대원건설!Z28+정윤일!Z28+비고1!Z28+비고2!Z28,"")</f>
        <v/>
      </c>
      <c r="AA28" s="2" t="str">
        <f>IF(만두건설!AA28+만두토목!AA28+홍천서석!AA28+사창리!AA28+대원건설!AA28+정윤일!AA28+비고1!AA28+비고2!AA28&gt;0,만두건설!AA28+만두토목!AA28+홍천서석!AA28+사창리!AA28+대원건설!AA28+정윤일!AA28+비고1!AA28+비고2!AA28,"")</f>
        <v/>
      </c>
      <c r="AB28" s="2" t="str">
        <f>IF(만두건설!AB28+만두토목!AB28+홍천서석!AB28+사창리!AB28+대원건설!AB28+정윤일!AB28+비고1!AB28+비고2!AB28&gt;0,만두건설!AB28+만두토목!AB28+홍천서석!AB28+사창리!AB28+대원건설!AB28+정윤일!AB28+비고1!AB28+비고2!AB28,"")</f>
        <v/>
      </c>
      <c r="AC28" s="2" t="str">
        <f>IF(만두건설!AC28+만두토목!AC28+홍천서석!AC28+사창리!AC28+대원건설!AC28+정윤일!AC28+비고1!AC28+비고2!AC28&gt;0,만두건설!AC28+만두토목!AC28+홍천서석!AC28+사창리!AC28+대원건설!AC28+정윤일!AC28+비고1!AC28+비고2!AC28,"")</f>
        <v/>
      </c>
      <c r="AD28" s="2" t="str">
        <f>IF(만두건설!AD28+만두토목!AD28+홍천서석!AD28+사창리!AD28+대원건설!AD28+정윤일!AD28+비고1!AD28+비고2!AD28&gt;0,만두건설!AD28+만두토목!AD28+홍천서석!AD28+사창리!AD28+대원건설!AD28+정윤일!AD28+비고1!AD28+비고2!AD28,"")</f>
        <v/>
      </c>
      <c r="AE28" s="2" t="str">
        <f>IF(만두건설!AE28+만두토목!AE28+홍천서석!AE28+사창리!AE28+대원건설!AE28+정윤일!AE28+비고1!AE28+비고2!AE28&gt;0,만두건설!AE28+만두토목!AE28+홍천서석!AE28+사창리!AE28+대원건설!AE28+정윤일!AE28+비고1!AE28+비고2!AE28,"")</f>
        <v/>
      </c>
      <c r="AF28" s="2" t="str">
        <f>IF(만두건설!AF28+만두토목!AF28+홍천서석!AF28+사창리!AF28+대원건설!AF28+정윤일!AF28+비고1!AF28+비고2!AF28&gt;0,만두건설!AF28+만두토목!AF28+홍천서석!AF28+사창리!AF28+대원건설!AF28+정윤일!AF28+비고1!AF28+비고2!AF28,"")</f>
        <v/>
      </c>
      <c r="AG28" s="2" t="str">
        <f>IF(만두건설!AG28+만두토목!AG28+홍천서석!AG28+사창리!AG28+대원건설!AG28+정윤일!AG28+비고1!AG28+비고2!AG28&gt;0,만두건설!AG28+만두토목!AG28+홍천서석!AG28+사창리!AG28+대원건설!AG28+정윤일!AG28+비고1!AG28+비고2!AG28,"")</f>
        <v/>
      </c>
      <c r="AH28" s="2" t="str">
        <f>IF(만두건설!AH28+만두토목!AH28+홍천서석!AH28+사창리!AH28+대원건설!AH28+정윤일!AH28+비고1!AH28+비고2!AH28&gt;0,만두건설!AH28+만두토목!AH28+홍천서석!AH28+사창리!AH28+대원건설!AH28+정윤일!AH28+비고1!AH28+비고2!AH28,"")</f>
        <v/>
      </c>
      <c r="AI28" s="2" t="str">
        <f>IF(만두건설!AI28+만두토목!AI28+홍천서석!AI28+사창리!AI28+대원건설!AI28+정윤일!AI28+비고1!AI28+비고2!AI28&gt;0,만두건설!AI28+만두토목!AI28+홍천서석!AI28+사창리!AI28+대원건설!AI28+정윤일!AI28+비고1!AI28+비고2!AI28,"")</f>
        <v/>
      </c>
      <c r="AJ28" s="2" t="str">
        <f>IF(만두건설!AJ28+만두토목!AJ28+홍천서석!AJ28+사창리!AJ28+대원건설!AJ28+정윤일!AJ28+비고1!AJ28+비고2!AJ28&gt;0,만두건설!AJ28+만두토목!AJ28+홍천서석!AJ28+사창리!AJ28+대원건설!AJ28+정윤일!AJ28+비고1!AJ28+비고2!AJ28,"")</f>
        <v/>
      </c>
      <c r="AK28" s="2" t="str">
        <f>IF(만두건설!AK28+만두토목!AK28+홍천서석!AK28+사창리!AK28+대원건설!AK28+정윤일!AK28+비고1!AK28+비고2!AK28&gt;0,만두건설!AK28+만두토목!AK28+홍천서석!AK28+사창리!AK28+대원건설!AK28+정윤일!AK28+비고1!AK28+비고2!AK28,"")</f>
        <v/>
      </c>
      <c r="AL28" s="4" t="str">
        <f t="shared" si="1"/>
        <v/>
      </c>
      <c r="AM28" s="4"/>
      <c r="AN28" s="4">
        <f t="shared" si="2"/>
        <v>0</v>
      </c>
      <c r="AO28" s="4"/>
      <c r="AP28" s="7" t="str">
        <f>IF(만두건설!AL28&gt;0,만두건설!AL28,"")</f>
        <v/>
      </c>
      <c r="AQ28" s="7"/>
      <c r="AR28" s="7" t="str">
        <f>IF(만두토목!AL28&gt;0,만두토목!AL28,"")</f>
        <v/>
      </c>
      <c r="AS28" s="7"/>
      <c r="AT28" s="7" t="str">
        <f>IF(홍천서석!AL28&gt;0,홍천서석!AL28,"")</f>
        <v/>
      </c>
      <c r="AU28" s="7"/>
      <c r="AV28" s="7" t="str">
        <f>IF(사창리!AL28&gt;0,사창리!AL28,"")</f>
        <v/>
      </c>
      <c r="AW28" s="7"/>
      <c r="AX28" s="7" t="str">
        <f>IF(대원건설!AL28&gt;0,대원건설!AL28,"")</f>
        <v/>
      </c>
      <c r="AY28" s="7"/>
      <c r="AZ28" s="7" t="str">
        <f>IF(정윤일!AL28&gt;0,정윤일!AL28,"")</f>
        <v/>
      </c>
      <c r="BA28" s="7"/>
      <c r="BB28" s="7" t="str">
        <f>IF(비고1!AL28&gt;0,비고1!AL28,"")</f>
        <v/>
      </c>
      <c r="BC28" s="7"/>
      <c r="BD28" s="7" t="str">
        <f>IF(비고2!AL28&gt;0,비고2!AL28,"")</f>
        <v/>
      </c>
      <c r="BE28" s="7"/>
    </row>
    <row r="29" spans="1:57" ht="23.15" customHeight="1" x14ac:dyDescent="0.55000000000000004">
      <c r="A29" s="4">
        <f t="shared" si="0"/>
        <v>24</v>
      </c>
      <c r="B29" s="4"/>
      <c r="C29" s="4"/>
      <c r="D29" s="4"/>
      <c r="E29" s="4"/>
      <c r="F29" s="4"/>
      <c r="G29" s="2" t="str">
        <f>IF(만두건설!G29+만두토목!G29+홍천서석!G29+사창리!G29+대원건설!G29+정윤일!G29+비고1!G29+비고2!G29&gt;0,만두건설!G29+만두토목!G29+홍천서석!G29+사창리!G29+대원건설!G29+정윤일!G29+비고1!G29+비고2!G29,"")</f>
        <v/>
      </c>
      <c r="H29" s="2" t="str">
        <f>IF(만두건설!H29+만두토목!H29+홍천서석!H29+사창리!H29+대원건설!H29+정윤일!H29+비고1!H29+비고2!H29&gt;0,만두건설!H29+만두토목!H29+홍천서석!H29+사창리!H29+대원건설!H29+정윤일!H29+비고1!H29+비고2!H29,"")</f>
        <v/>
      </c>
      <c r="I29" s="2" t="str">
        <f>IF(만두건설!I29+만두토목!I29+홍천서석!I29+사창리!I29+대원건설!I29+정윤일!I29+비고1!I29+비고2!I29&gt;0,만두건설!I29+만두토목!I29+홍천서석!I29+사창리!I29+대원건설!I29+정윤일!I29+비고1!I29+비고2!I29,"")</f>
        <v/>
      </c>
      <c r="J29" s="2" t="str">
        <f>IF(만두건설!J29+만두토목!J29+홍천서석!J29+사창리!J29+대원건설!J29+정윤일!J29+비고1!J29+비고2!J29&gt;0,만두건설!J29+만두토목!J29+홍천서석!J29+사창리!J29+대원건설!J29+정윤일!J29+비고1!J29+비고2!J29,"")</f>
        <v/>
      </c>
      <c r="K29" s="2" t="str">
        <f>IF(만두건설!K29+만두토목!K29+홍천서석!K29+사창리!K29+대원건설!K29+정윤일!K29+비고1!K29+비고2!K29&gt;0,만두건설!K29+만두토목!K29+홍천서석!K29+사창리!K29+대원건설!K29+정윤일!K29+비고1!K29+비고2!K29,"")</f>
        <v/>
      </c>
      <c r="L29" s="2" t="str">
        <f>IF(만두건설!L29+만두토목!L29+홍천서석!L29+사창리!L29+대원건설!L29+정윤일!L29+비고1!L29+비고2!L29&gt;0,만두건설!L29+만두토목!L29+홍천서석!L29+사창리!L29+대원건설!L29+정윤일!L29+비고1!L29+비고2!L29,"")</f>
        <v/>
      </c>
      <c r="M29" s="2" t="str">
        <f>IF(만두건설!M29+만두토목!M29+홍천서석!M29+사창리!M29+대원건설!M29+정윤일!M29+비고1!M29+비고2!M29&gt;0,만두건설!M29+만두토목!M29+홍천서석!M29+사창리!M29+대원건설!M29+정윤일!M29+비고1!M29+비고2!M29,"")</f>
        <v/>
      </c>
      <c r="N29" s="2" t="str">
        <f>IF(만두건설!N29+만두토목!N29+홍천서석!N29+사창리!N29+대원건설!N29+정윤일!N29+비고1!N29+비고2!N29&gt;0,만두건설!N29+만두토목!N29+홍천서석!N29+사창리!N29+대원건설!N29+정윤일!N29+비고1!N29+비고2!N29,"")</f>
        <v/>
      </c>
      <c r="O29" s="2" t="str">
        <f>IF(만두건설!O29+만두토목!O29+홍천서석!O29+사창리!O29+대원건설!O29+정윤일!O29+비고1!O29+비고2!O29&gt;0,만두건설!O29+만두토목!O29+홍천서석!O29+사창리!O29+대원건설!O29+정윤일!O29+비고1!O29+비고2!O29,"")</f>
        <v/>
      </c>
      <c r="P29" s="2" t="str">
        <f>IF(만두건설!P29+만두토목!P29+홍천서석!P29+사창리!P29+대원건설!P29+정윤일!P29+비고1!P29+비고2!P29&gt;0,만두건설!P29+만두토목!P29+홍천서석!P29+사창리!P29+대원건설!P29+정윤일!P29+비고1!P29+비고2!P29,"")</f>
        <v/>
      </c>
      <c r="Q29" s="2" t="str">
        <f>IF(만두건설!Q29+만두토목!Q29+홍천서석!Q29+사창리!Q29+대원건설!Q29+정윤일!Q29+비고1!Q29+비고2!Q29&gt;0,만두건설!Q29+만두토목!Q29+홍천서석!Q29+사창리!Q29+대원건설!Q29+정윤일!Q29+비고1!Q29+비고2!Q29,"")</f>
        <v/>
      </c>
      <c r="R29" s="2" t="str">
        <f>IF(만두건설!R29+만두토목!R29+홍천서석!R29+사창리!R29+대원건설!R29+정윤일!R29+비고1!R29+비고2!R29&gt;0,만두건설!R29+만두토목!R29+홍천서석!R29+사창리!R29+대원건설!R29+정윤일!R29+비고1!R29+비고2!R29,"")</f>
        <v/>
      </c>
      <c r="S29" s="2" t="str">
        <f>IF(만두건설!S29+만두토목!S29+홍천서석!S29+사창리!S29+대원건설!S29+정윤일!S29+비고1!S29+비고2!S29&gt;0,만두건설!S29+만두토목!S29+홍천서석!S29+사창리!S29+대원건설!S29+정윤일!S29+비고1!S29+비고2!S29,"")</f>
        <v/>
      </c>
      <c r="T29" s="2" t="str">
        <f>IF(만두건설!T29+만두토목!T29+홍천서석!T29+사창리!T29+대원건설!T29+정윤일!T29+비고1!T29+비고2!T29&gt;0,만두건설!T29+만두토목!T29+홍천서석!T29+사창리!T29+대원건설!T29+정윤일!T29+비고1!T29+비고2!T29,"")</f>
        <v/>
      </c>
      <c r="U29" s="2" t="str">
        <f>IF(만두건설!U29+만두토목!U29+홍천서석!U29+사창리!U29+대원건설!U29+정윤일!U29+비고1!U29+비고2!U29&gt;0,만두건설!U29+만두토목!U29+홍천서석!U29+사창리!U29+대원건설!U29+정윤일!U29+비고1!U29+비고2!U29,"")</f>
        <v/>
      </c>
      <c r="V29" s="2" t="str">
        <f>IF(만두건설!V29+만두토목!V29+홍천서석!V29+사창리!V29+대원건설!V29+정윤일!V29+비고1!V29+비고2!V29&gt;0,만두건설!V29+만두토목!V29+홍천서석!V29+사창리!V29+대원건설!V29+정윤일!V29+비고1!V29+비고2!V29,"")</f>
        <v/>
      </c>
      <c r="W29" s="2" t="str">
        <f>IF(만두건설!W29+만두토목!W29+홍천서석!W29+사창리!W29+대원건설!W29+정윤일!W29+비고1!W29+비고2!W29&gt;0,만두건설!W29+만두토목!W29+홍천서석!W29+사창리!W29+대원건설!W29+정윤일!W29+비고1!W29+비고2!W29,"")</f>
        <v/>
      </c>
      <c r="X29" s="2" t="str">
        <f>IF(만두건설!X29+만두토목!X29+홍천서석!X29+사창리!X29+대원건설!X29+정윤일!X29+비고1!X29+비고2!X29&gt;0,만두건설!X29+만두토목!X29+홍천서석!X29+사창리!X29+대원건설!X29+정윤일!X29+비고1!X29+비고2!X29,"")</f>
        <v/>
      </c>
      <c r="Y29" s="2" t="str">
        <f>IF(만두건설!Y29+만두토목!Y29+홍천서석!Y29+사창리!Y29+대원건설!Y29+정윤일!Y29+비고1!Y29+비고2!Y29&gt;0,만두건설!Y29+만두토목!Y29+홍천서석!Y29+사창리!Y29+대원건설!Y29+정윤일!Y29+비고1!Y29+비고2!Y29,"")</f>
        <v/>
      </c>
      <c r="Z29" s="2" t="str">
        <f>IF(만두건설!Z29+만두토목!Z29+홍천서석!Z29+사창리!Z29+대원건설!Z29+정윤일!Z29+비고1!Z29+비고2!Z29&gt;0,만두건설!Z29+만두토목!Z29+홍천서석!Z29+사창리!Z29+대원건설!Z29+정윤일!Z29+비고1!Z29+비고2!Z29,"")</f>
        <v/>
      </c>
      <c r="AA29" s="2" t="str">
        <f>IF(만두건설!AA29+만두토목!AA29+홍천서석!AA29+사창리!AA29+대원건설!AA29+정윤일!AA29+비고1!AA29+비고2!AA29&gt;0,만두건설!AA29+만두토목!AA29+홍천서석!AA29+사창리!AA29+대원건설!AA29+정윤일!AA29+비고1!AA29+비고2!AA29,"")</f>
        <v/>
      </c>
      <c r="AB29" s="2" t="str">
        <f>IF(만두건설!AB29+만두토목!AB29+홍천서석!AB29+사창리!AB29+대원건설!AB29+정윤일!AB29+비고1!AB29+비고2!AB29&gt;0,만두건설!AB29+만두토목!AB29+홍천서석!AB29+사창리!AB29+대원건설!AB29+정윤일!AB29+비고1!AB29+비고2!AB29,"")</f>
        <v/>
      </c>
      <c r="AC29" s="2" t="str">
        <f>IF(만두건설!AC29+만두토목!AC29+홍천서석!AC29+사창리!AC29+대원건설!AC29+정윤일!AC29+비고1!AC29+비고2!AC29&gt;0,만두건설!AC29+만두토목!AC29+홍천서석!AC29+사창리!AC29+대원건설!AC29+정윤일!AC29+비고1!AC29+비고2!AC29,"")</f>
        <v/>
      </c>
      <c r="AD29" s="2" t="str">
        <f>IF(만두건설!AD29+만두토목!AD29+홍천서석!AD29+사창리!AD29+대원건설!AD29+정윤일!AD29+비고1!AD29+비고2!AD29&gt;0,만두건설!AD29+만두토목!AD29+홍천서석!AD29+사창리!AD29+대원건설!AD29+정윤일!AD29+비고1!AD29+비고2!AD29,"")</f>
        <v/>
      </c>
      <c r="AE29" s="2" t="str">
        <f>IF(만두건설!AE29+만두토목!AE29+홍천서석!AE29+사창리!AE29+대원건설!AE29+정윤일!AE29+비고1!AE29+비고2!AE29&gt;0,만두건설!AE29+만두토목!AE29+홍천서석!AE29+사창리!AE29+대원건설!AE29+정윤일!AE29+비고1!AE29+비고2!AE29,"")</f>
        <v/>
      </c>
      <c r="AF29" s="2" t="str">
        <f>IF(만두건설!AF29+만두토목!AF29+홍천서석!AF29+사창리!AF29+대원건설!AF29+정윤일!AF29+비고1!AF29+비고2!AF29&gt;0,만두건설!AF29+만두토목!AF29+홍천서석!AF29+사창리!AF29+대원건설!AF29+정윤일!AF29+비고1!AF29+비고2!AF29,"")</f>
        <v/>
      </c>
      <c r="AG29" s="2" t="str">
        <f>IF(만두건설!AG29+만두토목!AG29+홍천서석!AG29+사창리!AG29+대원건설!AG29+정윤일!AG29+비고1!AG29+비고2!AG29&gt;0,만두건설!AG29+만두토목!AG29+홍천서석!AG29+사창리!AG29+대원건설!AG29+정윤일!AG29+비고1!AG29+비고2!AG29,"")</f>
        <v/>
      </c>
      <c r="AH29" s="2" t="str">
        <f>IF(만두건설!AH29+만두토목!AH29+홍천서석!AH29+사창리!AH29+대원건설!AH29+정윤일!AH29+비고1!AH29+비고2!AH29&gt;0,만두건설!AH29+만두토목!AH29+홍천서석!AH29+사창리!AH29+대원건설!AH29+정윤일!AH29+비고1!AH29+비고2!AH29,"")</f>
        <v/>
      </c>
      <c r="AI29" s="2" t="str">
        <f>IF(만두건설!AI29+만두토목!AI29+홍천서석!AI29+사창리!AI29+대원건설!AI29+정윤일!AI29+비고1!AI29+비고2!AI29&gt;0,만두건설!AI29+만두토목!AI29+홍천서석!AI29+사창리!AI29+대원건설!AI29+정윤일!AI29+비고1!AI29+비고2!AI29,"")</f>
        <v/>
      </c>
      <c r="AJ29" s="2" t="str">
        <f>IF(만두건설!AJ29+만두토목!AJ29+홍천서석!AJ29+사창리!AJ29+대원건설!AJ29+정윤일!AJ29+비고1!AJ29+비고2!AJ29&gt;0,만두건설!AJ29+만두토목!AJ29+홍천서석!AJ29+사창리!AJ29+대원건설!AJ29+정윤일!AJ29+비고1!AJ29+비고2!AJ29,"")</f>
        <v/>
      </c>
      <c r="AK29" s="2" t="str">
        <f>IF(만두건설!AK29+만두토목!AK29+홍천서석!AK29+사창리!AK29+대원건설!AK29+정윤일!AK29+비고1!AK29+비고2!AK29&gt;0,만두건설!AK29+만두토목!AK29+홍천서석!AK29+사창리!AK29+대원건설!AK29+정윤일!AK29+비고1!AK29+비고2!AK29,"")</f>
        <v/>
      </c>
      <c r="AL29" s="4" t="str">
        <f t="shared" si="1"/>
        <v/>
      </c>
      <c r="AM29" s="4"/>
      <c r="AN29" s="4">
        <f t="shared" si="2"/>
        <v>0</v>
      </c>
      <c r="AO29" s="4"/>
      <c r="AP29" s="7" t="str">
        <f>IF(만두건설!AL29&gt;0,만두건설!AL29,"")</f>
        <v/>
      </c>
      <c r="AQ29" s="7"/>
      <c r="AR29" s="7" t="str">
        <f>IF(만두토목!AL29&gt;0,만두토목!AL29,"")</f>
        <v/>
      </c>
      <c r="AS29" s="7"/>
      <c r="AT29" s="7" t="str">
        <f>IF(홍천서석!AL29&gt;0,홍천서석!AL29,"")</f>
        <v/>
      </c>
      <c r="AU29" s="7"/>
      <c r="AV29" s="7" t="str">
        <f>IF(사창리!AL29&gt;0,사창리!AL29,"")</f>
        <v/>
      </c>
      <c r="AW29" s="7"/>
      <c r="AX29" s="7" t="str">
        <f>IF(대원건설!AL29&gt;0,대원건설!AL29,"")</f>
        <v/>
      </c>
      <c r="AY29" s="7"/>
      <c r="AZ29" s="7" t="str">
        <f>IF(정윤일!AL29&gt;0,정윤일!AL29,"")</f>
        <v/>
      </c>
      <c r="BA29" s="7"/>
      <c r="BB29" s="7" t="str">
        <f>IF(비고1!AL29&gt;0,비고1!AL29,"")</f>
        <v/>
      </c>
      <c r="BC29" s="7"/>
      <c r="BD29" s="7" t="str">
        <f>IF(비고2!AL29&gt;0,비고2!AL29,"")</f>
        <v/>
      </c>
      <c r="BE29" s="7"/>
    </row>
    <row r="30" spans="1:57" ht="23.15" customHeight="1" x14ac:dyDescent="0.55000000000000004">
      <c r="A30" s="4">
        <f t="shared" si="0"/>
        <v>25</v>
      </c>
      <c r="B30" s="4"/>
      <c r="C30" s="4"/>
      <c r="D30" s="4"/>
      <c r="E30" s="4"/>
      <c r="F30" s="4"/>
      <c r="G30" s="2" t="str">
        <f>IF(만두건설!G30+만두토목!G30+홍천서석!G30+사창리!G30+대원건설!G30+정윤일!G30+비고1!G30+비고2!G30&gt;0,만두건설!G30+만두토목!G30+홍천서석!G30+사창리!G30+대원건설!G30+정윤일!G30+비고1!G30+비고2!G30,"")</f>
        <v/>
      </c>
      <c r="H30" s="2" t="str">
        <f>IF(만두건설!H30+만두토목!H30+홍천서석!H30+사창리!H30+대원건설!H30+정윤일!H30+비고1!H30+비고2!H30&gt;0,만두건설!H30+만두토목!H30+홍천서석!H30+사창리!H30+대원건설!H30+정윤일!H30+비고1!H30+비고2!H30,"")</f>
        <v/>
      </c>
      <c r="I30" s="2" t="str">
        <f>IF(만두건설!I30+만두토목!I30+홍천서석!I30+사창리!I30+대원건설!I30+정윤일!I30+비고1!I30+비고2!I30&gt;0,만두건설!I30+만두토목!I30+홍천서석!I30+사창리!I30+대원건설!I30+정윤일!I30+비고1!I30+비고2!I30,"")</f>
        <v/>
      </c>
      <c r="J30" s="2" t="str">
        <f>IF(만두건설!J30+만두토목!J30+홍천서석!J30+사창리!J30+대원건설!J30+정윤일!J30+비고1!J30+비고2!J30&gt;0,만두건설!J30+만두토목!J30+홍천서석!J30+사창리!J30+대원건설!J30+정윤일!J30+비고1!J30+비고2!J30,"")</f>
        <v/>
      </c>
      <c r="K30" s="2" t="str">
        <f>IF(만두건설!K30+만두토목!K30+홍천서석!K30+사창리!K30+대원건설!K30+정윤일!K30+비고1!K30+비고2!K30&gt;0,만두건설!K30+만두토목!K30+홍천서석!K30+사창리!K30+대원건설!K30+정윤일!K30+비고1!K30+비고2!K30,"")</f>
        <v/>
      </c>
      <c r="L30" s="2" t="str">
        <f>IF(만두건설!L30+만두토목!L30+홍천서석!L30+사창리!L30+대원건설!L30+정윤일!L30+비고1!L30+비고2!L30&gt;0,만두건설!L30+만두토목!L30+홍천서석!L30+사창리!L30+대원건설!L30+정윤일!L30+비고1!L30+비고2!L30,"")</f>
        <v/>
      </c>
      <c r="M30" s="2" t="str">
        <f>IF(만두건설!M30+만두토목!M30+홍천서석!M30+사창리!M30+대원건설!M30+정윤일!M30+비고1!M30+비고2!M30&gt;0,만두건설!M30+만두토목!M30+홍천서석!M30+사창리!M30+대원건설!M30+정윤일!M30+비고1!M30+비고2!M30,"")</f>
        <v/>
      </c>
      <c r="N30" s="2" t="str">
        <f>IF(만두건설!N30+만두토목!N30+홍천서석!N30+사창리!N30+대원건설!N30+정윤일!N30+비고1!N30+비고2!N30&gt;0,만두건설!N30+만두토목!N30+홍천서석!N30+사창리!N30+대원건설!N30+정윤일!N30+비고1!N30+비고2!N30,"")</f>
        <v/>
      </c>
      <c r="O30" s="2" t="str">
        <f>IF(만두건설!O30+만두토목!O30+홍천서석!O30+사창리!O30+대원건설!O30+정윤일!O30+비고1!O30+비고2!O30&gt;0,만두건설!O30+만두토목!O30+홍천서석!O30+사창리!O30+대원건설!O30+정윤일!O30+비고1!O30+비고2!O30,"")</f>
        <v/>
      </c>
      <c r="P30" s="2" t="str">
        <f>IF(만두건설!P30+만두토목!P30+홍천서석!P30+사창리!P30+대원건설!P30+정윤일!P30+비고1!P30+비고2!P30&gt;0,만두건설!P30+만두토목!P30+홍천서석!P30+사창리!P30+대원건설!P30+정윤일!P30+비고1!P30+비고2!P30,"")</f>
        <v/>
      </c>
      <c r="Q30" s="2" t="str">
        <f>IF(만두건설!Q30+만두토목!Q30+홍천서석!Q30+사창리!Q30+대원건설!Q30+정윤일!Q30+비고1!Q30+비고2!Q30&gt;0,만두건설!Q30+만두토목!Q30+홍천서석!Q30+사창리!Q30+대원건설!Q30+정윤일!Q30+비고1!Q30+비고2!Q30,"")</f>
        <v/>
      </c>
      <c r="R30" s="2" t="str">
        <f>IF(만두건설!R30+만두토목!R30+홍천서석!R30+사창리!R30+대원건설!R30+정윤일!R30+비고1!R30+비고2!R30&gt;0,만두건설!R30+만두토목!R30+홍천서석!R30+사창리!R30+대원건설!R30+정윤일!R30+비고1!R30+비고2!R30,"")</f>
        <v/>
      </c>
      <c r="S30" s="2" t="str">
        <f>IF(만두건설!S30+만두토목!S30+홍천서석!S30+사창리!S30+대원건설!S30+정윤일!S30+비고1!S30+비고2!S30&gt;0,만두건설!S30+만두토목!S30+홍천서석!S30+사창리!S30+대원건설!S30+정윤일!S30+비고1!S30+비고2!S30,"")</f>
        <v/>
      </c>
      <c r="T30" s="2" t="str">
        <f>IF(만두건설!T30+만두토목!T30+홍천서석!T30+사창리!T30+대원건설!T30+정윤일!T30+비고1!T30+비고2!T30&gt;0,만두건설!T30+만두토목!T30+홍천서석!T30+사창리!T30+대원건설!T30+정윤일!T30+비고1!T30+비고2!T30,"")</f>
        <v/>
      </c>
      <c r="U30" s="2" t="str">
        <f>IF(만두건설!U30+만두토목!U30+홍천서석!U30+사창리!U30+대원건설!U30+정윤일!U30+비고1!U30+비고2!U30&gt;0,만두건설!U30+만두토목!U30+홍천서석!U30+사창리!U30+대원건설!U30+정윤일!U30+비고1!U30+비고2!U30,"")</f>
        <v/>
      </c>
      <c r="V30" s="2" t="str">
        <f>IF(만두건설!V30+만두토목!V30+홍천서석!V30+사창리!V30+대원건설!V30+정윤일!V30+비고1!V30+비고2!V30&gt;0,만두건설!V30+만두토목!V30+홍천서석!V30+사창리!V30+대원건설!V30+정윤일!V30+비고1!V30+비고2!V30,"")</f>
        <v/>
      </c>
      <c r="W30" s="2" t="str">
        <f>IF(만두건설!W30+만두토목!W30+홍천서석!W30+사창리!W30+대원건설!W30+정윤일!W30+비고1!W30+비고2!W30&gt;0,만두건설!W30+만두토목!W30+홍천서석!W30+사창리!W30+대원건설!W30+정윤일!W30+비고1!W30+비고2!W30,"")</f>
        <v/>
      </c>
      <c r="X30" s="2" t="str">
        <f>IF(만두건설!X30+만두토목!X30+홍천서석!X30+사창리!X30+대원건설!X30+정윤일!X30+비고1!X30+비고2!X30&gt;0,만두건설!X30+만두토목!X30+홍천서석!X30+사창리!X30+대원건설!X30+정윤일!X30+비고1!X30+비고2!X30,"")</f>
        <v/>
      </c>
      <c r="Y30" s="2" t="str">
        <f>IF(만두건설!Y30+만두토목!Y30+홍천서석!Y30+사창리!Y30+대원건설!Y30+정윤일!Y30+비고1!Y30+비고2!Y30&gt;0,만두건설!Y30+만두토목!Y30+홍천서석!Y30+사창리!Y30+대원건설!Y30+정윤일!Y30+비고1!Y30+비고2!Y30,"")</f>
        <v/>
      </c>
      <c r="Z30" s="2" t="str">
        <f>IF(만두건설!Z30+만두토목!Z30+홍천서석!Z30+사창리!Z30+대원건설!Z30+정윤일!Z30+비고1!Z30+비고2!Z30&gt;0,만두건설!Z30+만두토목!Z30+홍천서석!Z30+사창리!Z30+대원건설!Z30+정윤일!Z30+비고1!Z30+비고2!Z30,"")</f>
        <v/>
      </c>
      <c r="AA30" s="2" t="str">
        <f>IF(만두건설!AA30+만두토목!AA30+홍천서석!AA30+사창리!AA30+대원건설!AA30+정윤일!AA30+비고1!AA30+비고2!AA30&gt;0,만두건설!AA30+만두토목!AA30+홍천서석!AA30+사창리!AA30+대원건설!AA30+정윤일!AA30+비고1!AA30+비고2!AA30,"")</f>
        <v/>
      </c>
      <c r="AB30" s="2" t="str">
        <f>IF(만두건설!AB30+만두토목!AB30+홍천서석!AB30+사창리!AB30+대원건설!AB30+정윤일!AB30+비고1!AB30+비고2!AB30&gt;0,만두건설!AB30+만두토목!AB30+홍천서석!AB30+사창리!AB30+대원건설!AB30+정윤일!AB30+비고1!AB30+비고2!AB30,"")</f>
        <v/>
      </c>
      <c r="AC30" s="2" t="str">
        <f>IF(만두건설!AC30+만두토목!AC30+홍천서석!AC30+사창리!AC30+대원건설!AC30+정윤일!AC30+비고1!AC30+비고2!AC30&gt;0,만두건설!AC30+만두토목!AC30+홍천서석!AC30+사창리!AC30+대원건설!AC30+정윤일!AC30+비고1!AC30+비고2!AC30,"")</f>
        <v/>
      </c>
      <c r="AD30" s="2" t="str">
        <f>IF(만두건설!AD30+만두토목!AD30+홍천서석!AD30+사창리!AD30+대원건설!AD30+정윤일!AD30+비고1!AD30+비고2!AD30&gt;0,만두건설!AD30+만두토목!AD30+홍천서석!AD30+사창리!AD30+대원건설!AD30+정윤일!AD30+비고1!AD30+비고2!AD30,"")</f>
        <v/>
      </c>
      <c r="AE30" s="2" t="str">
        <f>IF(만두건설!AE30+만두토목!AE30+홍천서석!AE30+사창리!AE30+대원건설!AE30+정윤일!AE30+비고1!AE30+비고2!AE30&gt;0,만두건설!AE30+만두토목!AE30+홍천서석!AE30+사창리!AE30+대원건설!AE30+정윤일!AE30+비고1!AE30+비고2!AE30,"")</f>
        <v/>
      </c>
      <c r="AF30" s="2" t="str">
        <f>IF(만두건설!AF30+만두토목!AF30+홍천서석!AF30+사창리!AF30+대원건설!AF30+정윤일!AF30+비고1!AF30+비고2!AF30&gt;0,만두건설!AF30+만두토목!AF30+홍천서석!AF30+사창리!AF30+대원건설!AF30+정윤일!AF30+비고1!AF30+비고2!AF30,"")</f>
        <v/>
      </c>
      <c r="AG30" s="2" t="str">
        <f>IF(만두건설!AG30+만두토목!AG30+홍천서석!AG30+사창리!AG30+대원건설!AG30+정윤일!AG30+비고1!AG30+비고2!AG30&gt;0,만두건설!AG30+만두토목!AG30+홍천서석!AG30+사창리!AG30+대원건설!AG30+정윤일!AG30+비고1!AG30+비고2!AG30,"")</f>
        <v/>
      </c>
      <c r="AH30" s="2" t="str">
        <f>IF(만두건설!AH30+만두토목!AH30+홍천서석!AH30+사창리!AH30+대원건설!AH30+정윤일!AH30+비고1!AH30+비고2!AH30&gt;0,만두건설!AH30+만두토목!AH30+홍천서석!AH30+사창리!AH30+대원건설!AH30+정윤일!AH30+비고1!AH30+비고2!AH30,"")</f>
        <v/>
      </c>
      <c r="AI30" s="2" t="str">
        <f>IF(만두건설!AI30+만두토목!AI30+홍천서석!AI30+사창리!AI30+대원건설!AI30+정윤일!AI30+비고1!AI30+비고2!AI30&gt;0,만두건설!AI30+만두토목!AI30+홍천서석!AI30+사창리!AI30+대원건설!AI30+정윤일!AI30+비고1!AI30+비고2!AI30,"")</f>
        <v/>
      </c>
      <c r="AJ30" s="2" t="str">
        <f>IF(만두건설!AJ30+만두토목!AJ30+홍천서석!AJ30+사창리!AJ30+대원건설!AJ30+정윤일!AJ30+비고1!AJ30+비고2!AJ30&gt;0,만두건설!AJ30+만두토목!AJ30+홍천서석!AJ30+사창리!AJ30+대원건설!AJ30+정윤일!AJ30+비고1!AJ30+비고2!AJ30,"")</f>
        <v/>
      </c>
      <c r="AK30" s="2" t="str">
        <f>IF(만두건설!AK30+만두토목!AK30+홍천서석!AK30+사창리!AK30+대원건설!AK30+정윤일!AK30+비고1!AK30+비고2!AK30&gt;0,만두건설!AK30+만두토목!AK30+홍천서석!AK30+사창리!AK30+대원건설!AK30+정윤일!AK30+비고1!AK30+비고2!AK30,"")</f>
        <v/>
      </c>
      <c r="AL30" s="4" t="str">
        <f t="shared" si="1"/>
        <v/>
      </c>
      <c r="AM30" s="4"/>
      <c r="AN30" s="4">
        <f t="shared" si="2"/>
        <v>0</v>
      </c>
      <c r="AO30" s="4"/>
      <c r="AP30" s="7" t="str">
        <f>IF(만두건설!AL30&gt;0,만두건설!AL30,"")</f>
        <v/>
      </c>
      <c r="AQ30" s="7"/>
      <c r="AR30" s="7" t="str">
        <f>IF(만두토목!AL30&gt;0,만두토목!AL30,"")</f>
        <v/>
      </c>
      <c r="AS30" s="7"/>
      <c r="AT30" s="7" t="str">
        <f>IF(홍천서석!AL30&gt;0,홍천서석!AL30,"")</f>
        <v/>
      </c>
      <c r="AU30" s="7"/>
      <c r="AV30" s="7" t="str">
        <f>IF(사창리!AL30&gt;0,사창리!AL30,"")</f>
        <v/>
      </c>
      <c r="AW30" s="7"/>
      <c r="AX30" s="7" t="str">
        <f>IF(대원건설!AL30&gt;0,대원건설!AL30,"")</f>
        <v/>
      </c>
      <c r="AY30" s="7"/>
      <c r="AZ30" s="7" t="str">
        <f>IF(정윤일!AL30&gt;0,정윤일!AL30,"")</f>
        <v/>
      </c>
      <c r="BA30" s="7"/>
      <c r="BB30" s="7" t="str">
        <f>IF(비고1!AL30&gt;0,비고1!AL30,"")</f>
        <v/>
      </c>
      <c r="BC30" s="7"/>
      <c r="BD30" s="7" t="str">
        <f>IF(비고2!AL30&gt;0,비고2!AL30,"")</f>
        <v/>
      </c>
      <c r="BE30" s="7"/>
    </row>
    <row r="31" spans="1:57" ht="23.15" customHeight="1" x14ac:dyDescent="0.55000000000000004">
      <c r="A31" s="4" t="s">
        <v>13</v>
      </c>
      <c r="B31" s="4"/>
      <c r="C31" s="4"/>
      <c r="D31" s="4"/>
      <c r="E31" s="4"/>
      <c r="F31" s="4"/>
      <c r="G31" s="2">
        <f>IF(SUM(G6:G30)&gt;0,SUM(G6:G30),"")</f>
        <v>8</v>
      </c>
      <c r="H31" s="2">
        <f t="shared" ref="H31:AK31" si="3">IF(SUM(H6:H30)&gt;0,SUM(H6:H30),"")</f>
        <v>8</v>
      </c>
      <c r="I31" s="2">
        <f t="shared" si="3"/>
        <v>8</v>
      </c>
      <c r="J31" s="2">
        <f t="shared" si="3"/>
        <v>8</v>
      </c>
      <c r="K31" s="2">
        <f t="shared" si="3"/>
        <v>8</v>
      </c>
      <c r="L31" s="2">
        <f t="shared" si="3"/>
        <v>8</v>
      </c>
      <c r="M31" s="2">
        <f t="shared" si="3"/>
        <v>8</v>
      </c>
      <c r="N31" s="2">
        <f t="shared" si="3"/>
        <v>8</v>
      </c>
      <c r="O31" s="2">
        <f t="shared" si="3"/>
        <v>8</v>
      </c>
      <c r="P31" s="2">
        <f t="shared" si="3"/>
        <v>8</v>
      </c>
      <c r="Q31" s="2">
        <f t="shared" si="3"/>
        <v>8</v>
      </c>
      <c r="R31" s="2">
        <f t="shared" si="3"/>
        <v>8</v>
      </c>
      <c r="S31" s="2">
        <f t="shared" si="3"/>
        <v>8</v>
      </c>
      <c r="T31" s="2">
        <f t="shared" si="3"/>
        <v>8</v>
      </c>
      <c r="U31" s="2">
        <f t="shared" si="3"/>
        <v>8</v>
      </c>
      <c r="V31" s="2">
        <f t="shared" si="3"/>
        <v>8</v>
      </c>
      <c r="W31" s="2">
        <f t="shared" si="3"/>
        <v>8</v>
      </c>
      <c r="X31" s="2">
        <f t="shared" si="3"/>
        <v>8</v>
      </c>
      <c r="Y31" s="2">
        <f t="shared" si="3"/>
        <v>8</v>
      </c>
      <c r="Z31" s="2">
        <f t="shared" si="3"/>
        <v>8</v>
      </c>
      <c r="AA31" s="2">
        <f t="shared" si="3"/>
        <v>8</v>
      </c>
      <c r="AB31" s="2">
        <f t="shared" si="3"/>
        <v>8</v>
      </c>
      <c r="AC31" s="2">
        <f t="shared" si="3"/>
        <v>8</v>
      </c>
      <c r="AD31" s="2">
        <f t="shared" si="3"/>
        <v>8</v>
      </c>
      <c r="AE31" s="2">
        <f t="shared" si="3"/>
        <v>8</v>
      </c>
      <c r="AF31" s="2">
        <f t="shared" si="3"/>
        <v>8</v>
      </c>
      <c r="AG31" s="2">
        <f t="shared" si="3"/>
        <v>8</v>
      </c>
      <c r="AH31" s="2">
        <f t="shared" si="3"/>
        <v>8</v>
      </c>
      <c r="AI31" s="2">
        <f t="shared" si="3"/>
        <v>1</v>
      </c>
      <c r="AJ31" s="2">
        <f t="shared" si="3"/>
        <v>1</v>
      </c>
      <c r="AK31" s="2">
        <f t="shared" si="3"/>
        <v>1</v>
      </c>
      <c r="AL31" s="4">
        <f>SUM(AL6:AM30)</f>
        <v>227</v>
      </c>
      <c r="AM31" s="4"/>
      <c r="AN31" s="4">
        <f>SUM(AN6:AO30)</f>
        <v>227</v>
      </c>
      <c r="AO31" s="4"/>
      <c r="AP31" s="7">
        <f>SUM(AP6:AQ30)</f>
        <v>28</v>
      </c>
      <c r="AQ31" s="7"/>
      <c r="AR31" s="7">
        <f>SUM(AR6:AS30)</f>
        <v>28</v>
      </c>
      <c r="AS31" s="7"/>
      <c r="AT31" s="7">
        <f>SUM(AT6:AU30)</f>
        <v>28</v>
      </c>
      <c r="AU31" s="7"/>
      <c r="AV31" s="7">
        <f>SUM(AV6:AW30)</f>
        <v>28</v>
      </c>
      <c r="AW31" s="7"/>
      <c r="AX31" s="7">
        <f>SUM(AX6:AY30)</f>
        <v>28</v>
      </c>
      <c r="AY31" s="7"/>
      <c r="AZ31" s="7">
        <f>SUM(AZ6:BA30)</f>
        <v>28</v>
      </c>
      <c r="BA31" s="7"/>
      <c r="BB31" s="7">
        <f>SUM(BB6:BC30)</f>
        <v>28</v>
      </c>
      <c r="BC31" s="7"/>
      <c r="BD31" s="7">
        <f>SUM(BD6:BE30)</f>
        <v>31</v>
      </c>
      <c r="BE31" s="7"/>
    </row>
  </sheetData>
  <mergeCells count="372">
    <mergeCell ref="AP1:AQ3"/>
    <mergeCell ref="AR1:AS3"/>
    <mergeCell ref="AT1:AU3"/>
    <mergeCell ref="AV1:AW3"/>
    <mergeCell ref="AX1:AY3"/>
    <mergeCell ref="AZ1:BA3"/>
    <mergeCell ref="BB1:BC3"/>
    <mergeCell ref="BD1:BE3"/>
    <mergeCell ref="AN5:AO5"/>
    <mergeCell ref="A6:B6"/>
    <mergeCell ref="C6:D6"/>
    <mergeCell ref="E6:F6"/>
    <mergeCell ref="AL6:AM6"/>
    <mergeCell ref="AN6:AO6"/>
    <mergeCell ref="AM1:AO3"/>
    <mergeCell ref="V2:Z2"/>
    <mergeCell ref="AA2:AI2"/>
    <mergeCell ref="V3:Z3"/>
    <mergeCell ref="AA3:AI3"/>
    <mergeCell ref="A4:B5"/>
    <mergeCell ref="C4:D5"/>
    <mergeCell ref="E4:F5"/>
    <mergeCell ref="G4:AO4"/>
    <mergeCell ref="AL5:AM5"/>
    <mergeCell ref="H1:J3"/>
    <mergeCell ref="K1:U3"/>
    <mergeCell ref="V1:Z1"/>
    <mergeCell ref="AA1:AI1"/>
    <mergeCell ref="AJ1:AL3"/>
    <mergeCell ref="A1:G2"/>
    <mergeCell ref="A3:G3"/>
    <mergeCell ref="A7:B7"/>
    <mergeCell ref="C7:D7"/>
    <mergeCell ref="E7:F7"/>
    <mergeCell ref="AL7:AM7"/>
    <mergeCell ref="AN7:AO7"/>
    <mergeCell ref="A8:B8"/>
    <mergeCell ref="C8:D8"/>
    <mergeCell ref="E8:F8"/>
    <mergeCell ref="AL8:AM8"/>
    <mergeCell ref="AN8:AO8"/>
    <mergeCell ref="A9:B9"/>
    <mergeCell ref="C9:D9"/>
    <mergeCell ref="E9:F9"/>
    <mergeCell ref="AL9:AM9"/>
    <mergeCell ref="AN9:AO9"/>
    <mergeCell ref="A10:B10"/>
    <mergeCell ref="C10:D10"/>
    <mergeCell ref="E10:F10"/>
    <mergeCell ref="AL10:AM10"/>
    <mergeCell ref="AN10:AO10"/>
    <mergeCell ref="A11:B11"/>
    <mergeCell ref="C11:D11"/>
    <mergeCell ref="E11:F11"/>
    <mergeCell ref="AL11:AM11"/>
    <mergeCell ref="AN11:AO11"/>
    <mergeCell ref="A12:B12"/>
    <mergeCell ref="C12:D12"/>
    <mergeCell ref="E12:F12"/>
    <mergeCell ref="AL12:AM12"/>
    <mergeCell ref="AN12:AO12"/>
    <mergeCell ref="A13:B13"/>
    <mergeCell ref="C13:D13"/>
    <mergeCell ref="E13:F13"/>
    <mergeCell ref="AL13:AM13"/>
    <mergeCell ref="AN13:AO13"/>
    <mergeCell ref="A14:B14"/>
    <mergeCell ref="C14:D14"/>
    <mergeCell ref="E14:F14"/>
    <mergeCell ref="AL14:AM14"/>
    <mergeCell ref="AN14:AO14"/>
    <mergeCell ref="A15:B15"/>
    <mergeCell ref="C15:D15"/>
    <mergeCell ref="E15:F15"/>
    <mergeCell ref="AL15:AM15"/>
    <mergeCell ref="AN15:AO15"/>
    <mergeCell ref="A16:B16"/>
    <mergeCell ref="C16:D16"/>
    <mergeCell ref="E16:F16"/>
    <mergeCell ref="AL16:AM16"/>
    <mergeCell ref="AN16:AO16"/>
    <mergeCell ref="A17:B17"/>
    <mergeCell ref="C17:D17"/>
    <mergeCell ref="E17:F17"/>
    <mergeCell ref="AL17:AM17"/>
    <mergeCell ref="AN17:AO17"/>
    <mergeCell ref="A18:B18"/>
    <mergeCell ref="C18:D18"/>
    <mergeCell ref="E18:F18"/>
    <mergeCell ref="AL18:AM18"/>
    <mergeCell ref="AN18:AO18"/>
    <mergeCell ref="A19:B19"/>
    <mergeCell ref="C19:D19"/>
    <mergeCell ref="E19:F19"/>
    <mergeCell ref="AL19:AM19"/>
    <mergeCell ref="AN19:AO19"/>
    <mergeCell ref="A20:B20"/>
    <mergeCell ref="C20:D20"/>
    <mergeCell ref="E20:F20"/>
    <mergeCell ref="AL20:AM20"/>
    <mergeCell ref="AN20:AO20"/>
    <mergeCell ref="A21:B21"/>
    <mergeCell ref="C21:D21"/>
    <mergeCell ref="E21:F21"/>
    <mergeCell ref="AL21:AM21"/>
    <mergeCell ref="AN21:AO21"/>
    <mergeCell ref="A22:B22"/>
    <mergeCell ref="C22:D22"/>
    <mergeCell ref="E22:F22"/>
    <mergeCell ref="AL22:AM22"/>
    <mergeCell ref="AN22:AO22"/>
    <mergeCell ref="A23:B23"/>
    <mergeCell ref="C23:D23"/>
    <mergeCell ref="E23:F23"/>
    <mergeCell ref="AL23:AM23"/>
    <mergeCell ref="AN23:AO23"/>
    <mergeCell ref="A24:B24"/>
    <mergeCell ref="C24:D24"/>
    <mergeCell ref="E24:F24"/>
    <mergeCell ref="AL24:AM24"/>
    <mergeCell ref="AN24:AO24"/>
    <mergeCell ref="A28:B28"/>
    <mergeCell ref="C28:D28"/>
    <mergeCell ref="E28:F28"/>
    <mergeCell ref="AL28:AM28"/>
    <mergeCell ref="AN28:AO28"/>
    <mergeCell ref="A25:B25"/>
    <mergeCell ref="C25:D25"/>
    <mergeCell ref="E25:F25"/>
    <mergeCell ref="AL25:AM25"/>
    <mergeCell ref="AN25:AO25"/>
    <mergeCell ref="A26:B26"/>
    <mergeCell ref="C26:D26"/>
    <mergeCell ref="E26:F26"/>
    <mergeCell ref="AL26:AM26"/>
    <mergeCell ref="AN26:AO26"/>
    <mergeCell ref="A31:B31"/>
    <mergeCell ref="C31:D31"/>
    <mergeCell ref="E31:F31"/>
    <mergeCell ref="AL31:AM31"/>
    <mergeCell ref="AN31:AO31"/>
    <mergeCell ref="AP7:AQ7"/>
    <mergeCell ref="AP8:AQ8"/>
    <mergeCell ref="AP9:AQ9"/>
    <mergeCell ref="AP10:AQ10"/>
    <mergeCell ref="A29:B29"/>
    <mergeCell ref="C29:D29"/>
    <mergeCell ref="E29:F29"/>
    <mergeCell ref="AL29:AM29"/>
    <mergeCell ref="AN29:AO29"/>
    <mergeCell ref="A30:B30"/>
    <mergeCell ref="C30:D30"/>
    <mergeCell ref="E30:F30"/>
    <mergeCell ref="AL30:AM30"/>
    <mergeCell ref="AN30:AO30"/>
    <mergeCell ref="A27:B27"/>
    <mergeCell ref="C27:D27"/>
    <mergeCell ref="E27:F27"/>
    <mergeCell ref="AL27:AM27"/>
    <mergeCell ref="AN27:AO27"/>
    <mergeCell ref="AP6:AQ6"/>
    <mergeCell ref="AR6:AS6"/>
    <mergeCell ref="AT6:AU6"/>
    <mergeCell ref="AV6:AW6"/>
    <mergeCell ref="AX6:AY6"/>
    <mergeCell ref="AZ6:BA6"/>
    <mergeCell ref="BB6:BC6"/>
    <mergeCell ref="BD6:BE6"/>
    <mergeCell ref="AP4:AQ5"/>
    <mergeCell ref="AR4:AS5"/>
    <mergeCell ref="AT4:AU5"/>
    <mergeCell ref="AV4:AW5"/>
    <mergeCell ref="AX4:AY5"/>
    <mergeCell ref="AZ4:BA5"/>
    <mergeCell ref="BB4:BC5"/>
    <mergeCell ref="BD4:BE5"/>
    <mergeCell ref="AR7:AS7"/>
    <mergeCell ref="AR8:AS8"/>
    <mergeCell ref="AR9:AS9"/>
    <mergeCell ref="AR10:AS10"/>
    <mergeCell ref="AR11:AS11"/>
    <mergeCell ref="AR12:AS12"/>
    <mergeCell ref="AR13:AS13"/>
    <mergeCell ref="AP23:AQ23"/>
    <mergeCell ref="AP24:AQ24"/>
    <mergeCell ref="AP17:AQ17"/>
    <mergeCell ref="AP18:AQ18"/>
    <mergeCell ref="AP19:AQ19"/>
    <mergeCell ref="AP20:AQ20"/>
    <mergeCell ref="AP21:AQ21"/>
    <mergeCell ref="AP22:AQ22"/>
    <mergeCell ref="AP11:AQ11"/>
    <mergeCell ref="AP12:AQ12"/>
    <mergeCell ref="AP13:AQ13"/>
    <mergeCell ref="AP14:AQ14"/>
    <mergeCell ref="AP15:AQ15"/>
    <mergeCell ref="AP16:AQ16"/>
    <mergeCell ref="AR14:AS14"/>
    <mergeCell ref="AR15:AS15"/>
    <mergeCell ref="AR16:AS16"/>
    <mergeCell ref="AR17:AS17"/>
    <mergeCell ref="AR18:AS18"/>
    <mergeCell ref="AR19:AS19"/>
    <mergeCell ref="AP29:AQ29"/>
    <mergeCell ref="AP30:AQ30"/>
    <mergeCell ref="AP31:AQ31"/>
    <mergeCell ref="AP25:AQ25"/>
    <mergeCell ref="AP26:AQ26"/>
    <mergeCell ref="AP27:AQ27"/>
    <mergeCell ref="AP28:AQ28"/>
    <mergeCell ref="AR26:AS26"/>
    <mergeCell ref="AR27:AS27"/>
    <mergeCell ref="AR28:AS28"/>
    <mergeCell ref="AR29:AS29"/>
    <mergeCell ref="AR30:AS30"/>
    <mergeCell ref="AR31:AS31"/>
    <mergeCell ref="AR20:AS20"/>
    <mergeCell ref="AR21:AS21"/>
    <mergeCell ref="AR22:AS22"/>
    <mergeCell ref="AR23:AS23"/>
    <mergeCell ref="AR24:AS24"/>
    <mergeCell ref="AR25:AS25"/>
    <mergeCell ref="AT13:AU13"/>
    <mergeCell ref="AT14:AU14"/>
    <mergeCell ref="AT15:AU15"/>
    <mergeCell ref="AT16:AU16"/>
    <mergeCell ref="AT17:AU17"/>
    <mergeCell ref="AT18:AU18"/>
    <mergeCell ref="AT7:AU7"/>
    <mergeCell ref="AT8:AU8"/>
    <mergeCell ref="AT9:AU9"/>
    <mergeCell ref="AT10:AU10"/>
    <mergeCell ref="AT11:AU11"/>
    <mergeCell ref="AT12:AU12"/>
    <mergeCell ref="AV20:AW20"/>
    <mergeCell ref="AV21:AW21"/>
    <mergeCell ref="AT31:AU31"/>
    <mergeCell ref="AV7:AW7"/>
    <mergeCell ref="AV8:AW8"/>
    <mergeCell ref="AV9:AW9"/>
    <mergeCell ref="AV10:AW10"/>
    <mergeCell ref="AV11:AW11"/>
    <mergeCell ref="AV12:AW12"/>
    <mergeCell ref="AV13:AW13"/>
    <mergeCell ref="AV14:AW14"/>
    <mergeCell ref="AV15:AW15"/>
    <mergeCell ref="AT25:AU25"/>
    <mergeCell ref="AT26:AU26"/>
    <mergeCell ref="AT27:AU27"/>
    <mergeCell ref="AT28:AU28"/>
    <mergeCell ref="AT29:AU29"/>
    <mergeCell ref="AT30:AU30"/>
    <mergeCell ref="AT19:AU19"/>
    <mergeCell ref="AT20:AU20"/>
    <mergeCell ref="AT21:AU21"/>
    <mergeCell ref="AT22:AU22"/>
    <mergeCell ref="AT23:AU23"/>
    <mergeCell ref="AT24:AU24"/>
    <mergeCell ref="AX15:AY15"/>
    <mergeCell ref="AX16:AY16"/>
    <mergeCell ref="AX17:AY17"/>
    <mergeCell ref="AX18:AY18"/>
    <mergeCell ref="AV28:AW28"/>
    <mergeCell ref="AV29:AW29"/>
    <mergeCell ref="AV30:AW30"/>
    <mergeCell ref="AV31:AW31"/>
    <mergeCell ref="AX7:AY7"/>
    <mergeCell ref="AX8:AY8"/>
    <mergeCell ref="AX9:AY9"/>
    <mergeCell ref="AX10:AY10"/>
    <mergeCell ref="AX11:AY11"/>
    <mergeCell ref="AX12:AY12"/>
    <mergeCell ref="AV22:AW22"/>
    <mergeCell ref="AV23:AW23"/>
    <mergeCell ref="AV24:AW24"/>
    <mergeCell ref="AV25:AW25"/>
    <mergeCell ref="AV26:AW26"/>
    <mergeCell ref="AV27:AW27"/>
    <mergeCell ref="AV16:AW16"/>
    <mergeCell ref="AV17:AW17"/>
    <mergeCell ref="AV18:AW18"/>
    <mergeCell ref="AV19:AW19"/>
    <mergeCell ref="AX31:AY31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Z15:BA15"/>
    <mergeCell ref="AX25:AY25"/>
    <mergeCell ref="AX26:AY26"/>
    <mergeCell ref="AX27:AY27"/>
    <mergeCell ref="AX28:AY28"/>
    <mergeCell ref="AX29:AY29"/>
    <mergeCell ref="AX30:AY30"/>
    <mergeCell ref="AX19:AY19"/>
    <mergeCell ref="AX20:AY20"/>
    <mergeCell ref="AX21:AY21"/>
    <mergeCell ref="AX22:AY22"/>
    <mergeCell ref="AX23:AY23"/>
    <mergeCell ref="AX24:AY24"/>
    <mergeCell ref="AX13:AY13"/>
    <mergeCell ref="AX14:AY14"/>
    <mergeCell ref="AZ28:BA28"/>
    <mergeCell ref="AZ29:BA29"/>
    <mergeCell ref="AZ30:BA30"/>
    <mergeCell ref="AZ31:BA31"/>
    <mergeCell ref="BB7:BC7"/>
    <mergeCell ref="BB8:BC8"/>
    <mergeCell ref="BB9:BC9"/>
    <mergeCell ref="BB10:BC10"/>
    <mergeCell ref="BB11:BC11"/>
    <mergeCell ref="BB12:BC12"/>
    <mergeCell ref="AZ22:BA22"/>
    <mergeCell ref="AZ23:BA23"/>
    <mergeCell ref="AZ24:BA24"/>
    <mergeCell ref="AZ25:BA25"/>
    <mergeCell ref="AZ26:BA26"/>
    <mergeCell ref="AZ27:BA27"/>
    <mergeCell ref="AZ16:BA16"/>
    <mergeCell ref="AZ17:BA17"/>
    <mergeCell ref="AZ18:BA18"/>
    <mergeCell ref="AZ19:BA19"/>
    <mergeCell ref="AZ20:BA20"/>
    <mergeCell ref="AZ21:BA21"/>
    <mergeCell ref="BB21:BC21"/>
    <mergeCell ref="BB22:BC22"/>
    <mergeCell ref="BD31:BE31"/>
    <mergeCell ref="BD22:BE22"/>
    <mergeCell ref="BD23:BE23"/>
    <mergeCell ref="BB23:BC23"/>
    <mergeCell ref="BB24:BC24"/>
    <mergeCell ref="BB13:BC13"/>
    <mergeCell ref="BB14:BC14"/>
    <mergeCell ref="BB15:BC15"/>
    <mergeCell ref="BB16:BC16"/>
    <mergeCell ref="BB17:BC17"/>
    <mergeCell ref="BB18:BC18"/>
    <mergeCell ref="BD16:BE16"/>
    <mergeCell ref="BD17:BE17"/>
    <mergeCell ref="BD18:BE18"/>
    <mergeCell ref="BD19:BE19"/>
    <mergeCell ref="BD20:BE20"/>
    <mergeCell ref="BD21:BE21"/>
    <mergeCell ref="BD24:BE24"/>
    <mergeCell ref="BD25:BE25"/>
    <mergeCell ref="BD26:BE26"/>
    <mergeCell ref="BD27:BE27"/>
    <mergeCell ref="BB31:BC31"/>
    <mergeCell ref="BD7:BE7"/>
    <mergeCell ref="BD8:BE8"/>
    <mergeCell ref="BD9:BE9"/>
    <mergeCell ref="BD10:BE10"/>
    <mergeCell ref="BD11:BE11"/>
    <mergeCell ref="BD12:BE12"/>
    <mergeCell ref="BD13:BE13"/>
    <mergeCell ref="BD14:BE14"/>
    <mergeCell ref="BD15:BE15"/>
    <mergeCell ref="BB25:BC25"/>
    <mergeCell ref="BB26:BC26"/>
    <mergeCell ref="BB27:BC27"/>
    <mergeCell ref="BB28:BC28"/>
    <mergeCell ref="BB29:BC29"/>
    <mergeCell ref="BB30:BC30"/>
    <mergeCell ref="BB19:BC19"/>
    <mergeCell ref="BB20:BC20"/>
    <mergeCell ref="BD28:BE28"/>
    <mergeCell ref="BD29:BE29"/>
    <mergeCell ref="BD30:BE30"/>
  </mergeCells>
  <phoneticPr fontId="1" type="noConversion"/>
  <conditionalFormatting sqref="A6:BE30">
    <cfRule type="expression" dxfId="29" priority="4">
      <formula>MOD(ROW(),2)=0</formula>
    </cfRule>
  </conditionalFormatting>
  <conditionalFormatting sqref="G5:AK5">
    <cfRule type="expression" dxfId="0" priority="1">
      <formula>WEEKDAY(DATE(LEFT($A$3,4),RIGHT($A$3,2),COLUMN()-COLUMN($G$5)+1))=1</formula>
    </cfRule>
    <cfRule type="expression" dxfId="1" priority="2">
      <formula>WEEKDAY(DATE(LEFT($A$3,4),RIGHT($A$3,2),COLUMN()-COLUMN($G$5)+1))=7</formula>
    </cfRule>
    <cfRule type="expression" dxfId="2" priority="3">
      <formula>_xlfn.LET(     _xlpm.y, LEFT($A$3,4),     _xlpm.m, RIGHT($A$3,2),     _xlpm.d, _xlfn.SEQUENCE(1,31,1,1),     _xlpm.date, DATE(_xlpm.y, _xlpm.m, _xlpm.d),     IF(_xlpm.d&lt;=DAY(EOMONTH(DATE(_xlpm.y,_xlpm.m,1),0)), _xlpm.date, "") )</formula>
    </cfRule>
  </conditionalFormatting>
  <pageMargins left="0.23622047244094491" right="0.23622047244094491" top="0.74803149606299213" bottom="0.74803149606299213" header="0.31496062992125984" footer="0.31496062992125984"/>
  <pageSetup paperSize="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만두건설</vt:lpstr>
      <vt:lpstr>만두토목</vt:lpstr>
      <vt:lpstr>홍천서석</vt:lpstr>
      <vt:lpstr>사창리</vt:lpstr>
      <vt:lpstr>대원건설</vt:lpstr>
      <vt:lpstr>정윤일</vt:lpstr>
      <vt:lpstr>비고1</vt:lpstr>
      <vt:lpstr>비고2</vt:lpstr>
      <vt:lpstr>출력관리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hwan cheol hwang</cp:lastModifiedBy>
  <cp:lastPrinted>2025-09-09T03:29:15Z</cp:lastPrinted>
  <dcterms:created xsi:type="dcterms:W3CDTF">2025-09-09T03:26:07Z</dcterms:created>
  <dcterms:modified xsi:type="dcterms:W3CDTF">2026-01-02T05:51:04Z</dcterms:modified>
</cp:coreProperties>
</file>